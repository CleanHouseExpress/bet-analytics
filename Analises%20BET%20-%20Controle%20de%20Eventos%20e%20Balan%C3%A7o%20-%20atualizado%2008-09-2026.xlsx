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b89aa2877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os" sheetId="1" r:id="R15fb3ac53ffa4ac3"/>
    <x:sheet xmlns:r="http://schemas.openxmlformats.org/officeDocument/2006/relationships" name="Movimentações" sheetId="2" r:id="R4d28aec174744665"/>
    <x:sheet xmlns:r="http://schemas.openxmlformats.org/officeDocument/2006/relationships" name="Balanço" sheetId="3" r:id="R69c6a4156e634f07"/>
    <x:sheet xmlns:r="http://schemas.openxmlformats.org/officeDocument/2006/relationships" name="Financeiro Global" sheetId="4" r:id="Rad196e05ffc842f2"/>
    <x:sheet xmlns:r="http://schemas.openxmlformats.org/officeDocument/2006/relationships" name="Dashboard" sheetId="5" r:id="R6598524fc6d046a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<x:sst xmlns:x="http://schemas.openxmlformats.org/spreadsheetml/2006/main">
  <x:si>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</x:si>
  <x:si>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Data/Hora</x:t>
  </x:si>
  <x:si>
    <x:t xml:space="preserve">Tipo de Evento</x:t>
  </x:si>
  <x:si>
    <x:t xml:space="preserve">Esporte</x:t>
  </x:si>
  <x:si>
    <x:t xml:space="preserve">Evento</x:t>
  </x:si>
  <x:si>
    <x:t xml:space="preserve">Mercado</x:t>
  </x:si>
  <x:si>
    <x:t xml:space="preserve">Seleção</x:t>
  </x:si>
  <x:si>
    <x:t xml:space="preserve">Tipo de Entrada</x:t>
  </x:si>
  <x:si>
    <x:t xml:space="preserve">Stake</x:t>
  </x:si>
  <x:si>
    <x:t xml:space="preserve">Odd</x:t>
  </x:si>
  <x:si>
    <x:t xml:space="preserve">Status</x:t>
  </x:si>
  <x:si>
    <x:t xml:space="preserve">Placar Final</x:t>
  </x:si>
  <x:si>
    <x:t xml:space="preserve">Retorno</x:t>
  </x:si>
  <x:si>
    <x:t xml:space="preserve">Lucro/Prejuízo</x:t>
  </x:si>
  <x:si>
    <x:t xml:space="preserve">ROI Evento</x:t>
  </x:si>
  <x:si>
    <x:t xml:space="preserve">SuperOdds</x:t>
  </x:si>
  <x:si>
    <x:t xml:space="preserve">Observações</x:t>
  </x:si>
  <x:si>
    <x:t xml:space="preserve">Momento da Entrada</x:t>
  </x:si>
  <x:si>
    <x:t xml:space="preserve">Teste / Validação</x:t>
  </x:si>
  <x:si>
    <x:t xml:space="preserve">Futebol</x:t>
  </x:si>
  <x:si>
    <x:t xml:space="preserve">Cerro Porteño - Palmeiras</x:t>
  </x:si>
  <x:si>
    <x:t xml:space="preserve">Resultado Final</x:t>
  </x:si>
  <x:si>
    <x:t xml:space="preserve">Palmeiras</x:t>
  </x:si>
  <x:si>
    <x:t xml:space="preserve">Vitória equipe</x:t>
  </x:si>
  <x:si>
    <x:t xml:space="preserve">Ganhou</x:t>
  </x:si>
  <x:si>
    <x:t xml:space="preserve">0-1</x:t>
  </x:si>
  <x:si>
    <x:t xml:space="preserve">Não</x:t>
  </x:si>
  <x:si>
    <x:t xml:space="preserve">Racing Club - CA Belgrano</x:t>
  </x:si>
  <x:si>
    <x:t xml:space="preserve">Racing Club</x:t>
  </x:si>
  <x:si>
    <x:t xml:space="preserve">1-0</x:t>
  </x:si>
  <x:si>
    <x:t xml:space="preserve">Atletico Ottawa - Vancouver FC</x:t>
  </x:si>
  <x:si>
    <x:t xml:space="preserve">Atletico Ottawa</x:t>
  </x:si>
  <x:si>
    <x:t xml:space="preserve">4-0</x:t>
  </x:si>
  <x:si>
    <x:t xml:space="preserve">Coquimbo Unido - CA Platense</x:t>
  </x:si>
  <x:si>
    <x:t xml:space="preserve">Empate</x:t>
  </x:si>
  <x:si>
    <x:t xml:space="preserve">0-0</x:t>
  </x:si>
  <x:si>
    <x:t xml:space="preserve">Avaí - Sport Recife</x:t>
  </x:si>
  <x:si>
    <x:t xml:space="preserve">Perdida</x:t>
  </x:si>
  <x:si>
    <x:t xml:space="preserve">2-1</x:t>
  </x:si>
  <x:si>
    <x:t xml:space="preserve">Philadelphia Union - Inter Miami CF</x:t>
  </x:si>
  <x:si>
    <x:t xml:space="preserve">Inter Miami CF</x:t>
  </x:si>
  <x:si>
    <x:t xml:space="preserve">2-2</x:t>
  </x:si>
  <x:si>
    <x:t xml:space="preserve">One Knoxville SC - Portland Hearts of Pine</x:t>
  </x:si>
  <x:si>
    <x:t xml:space="preserve">Portland Hearts of Pine</x:t>
  </x:si>
  <x:si>
    <x:t xml:space="preserve">1-1</x:t>
  </x:si>
  <x:si>
    <x:t xml:space="preserve">Forge FC - Supra Du Quebec</x:t>
  </x:si>
  <x:si>
    <x:t xml:space="preserve">3-2</x:t>
  </x:si>
  <x:si>
    <x:t xml:space="preserve">New York Red Bulls - Nashville SC</x:t>
  </x:si>
  <x:si>
    <x:t xml:space="preserve">FC Cincinnati - New York City FC</x:t>
  </x:si>
  <x:si>
    <x:t xml:space="preserve">Sporting Kansas City - St. Louis City SC</x:t>
  </x:si>
  <x:si>
    <x:t xml:space="preserve">Segunda entrada no mesmo evento</x:t>
  </x:si>
  <x:si>
    <x:t xml:space="preserve">Independiente Santa Fe - River Plate</x:t>
  </x:si>
  <x:si>
    <x:t xml:space="preserve">Flamengo - Cruzeiro</x:t>
  </x:si>
  <x:si>
    <x:t xml:space="preserve">Flamengo</x:t>
  </x:si>
  <x:si>
    <x:t xml:space="preserve">Botafogo-SP - Criciúma</x:t>
  </x:si>
  <x:si>
    <x:t xml:space="preserve">Criciúma</x:t>
  </x:si>
  <x:si>
    <x:t xml:space="preserve">Minnesota United FC - Atlanta United FC</x:t>
  </x:si>
  <x:si>
    <x:t xml:space="preserve">Atlanta United FC</x:t>
  </x:si>
  <x:si>
    <x:t xml:space="preserve">1-2</x:t>
  </x:si>
  <x:si>
    <x:t xml:space="preserve">LDU Quito - Mirassol</x:t>
  </x:si>
  <x:si>
    <x:t xml:space="preserve">LDU Quito</x:t>
  </x:si>
  <x:si>
    <x:t xml:space="preserve">Sim</x:t>
  </x:si>
  <x:si>
    <x:t xml:space="preserve">Grêmio Novorizontino - América-MG</x:t>
  </x:si>
  <x:si>
    <x:t xml:space="preserve">Grêmio Novorizontino</x:t>
  </x:si>
  <x:si>
    <x:t xml:space="preserve">3-0</x:t>
  </x:si>
  <x:si>
    <x:t xml:space="preserve">Macará - Santos</x:t>
  </x:si>
  <x:si>
    <x:t xml:space="preserve">Corinthians - CA Rosario Central</x:t>
  </x:si>
  <x:si>
    <x:t xml:space="preserve">Corinthians</x:t>
  </x:si>
  <x:si>
    <x:t xml:space="preserve">Espanyol - Real Madrid</x:t>
  </x:si>
  <x:si>
    <x:t xml:space="preserve">Real Madrid</x:t>
  </x:si>
  <x:si>
    <x:t xml:space="preserve">Pré-jogo</x:t>
  </x:si>
  <x:si>
    <x:t xml:space="preserve">Fluminense - Remo</x:t>
  </x:si>
  <x:si>
    <x:t xml:space="preserve">Fluminense</x:t>
  </x:si>
  <x:si>
    <x:t xml:space="preserve">Genoa CFC - Napoli</x:t>
  </x:si>
  <x:si>
    <x:t xml:space="preserve">Napoli</x:t>
  </x:si>
  <x:si>
    <x:t xml:space="preserve">0-2</x:t>
  </x:si>
  <x:si>
    <x:t xml:space="preserve">Valencia - Celta de Vigo</x:t>
  </x:si>
  <x:si>
    <x:t xml:space="preserve">Internacional - Atlético-MG</x:t>
  </x:si>
  <x:si>
    <x:t xml:space="preserve">Total de Gols</x:t>
  </x:si>
  <x:si>
    <x:t xml:space="preserve">Menos de 2.5</x:t>
  </x:si>
  <x:si>
    <x:t xml:space="preserve">Under gols</x:t>
  </x:si>
  <x:si>
    <x:t xml:space="preserve">Atlético-MG</x:t>
  </x:si>
  <x:si>
    <x:t xml:space="preserve">Cash Out</x:t>
  </x:si>
  <x:si>
    <x:t xml:space="preserve">Cash out</x:t>
  </x:si>
  <x:si>
    <x:t xml:space="preserve">Cruzeiro - Flamengo</x:t>
  </x:si>
  <x:si>
    <x:t xml:space="preserve">Bragantino - Grêmio</x:t>
  </x:si>
  <x:si>
    <x:t xml:space="preserve">Bragantino</x:t>
  </x:si>
  <x:si>
    <x:t xml:space="preserve">Cash out integral; jogo seria em 23/08 e será reavaliado amanhã</x:t>
  </x:si>
  <x:si>
    <x:t xml:space="preserve">SK Sturm Graz - SC Austria Lustenau</x:t>
  </x:si>
  <x:si>
    <x:t xml:space="preserve">SK Sturm Graz</x:t>
  </x:si>
  <x:si>
    <x:t xml:space="preserve">Entrada live</x:t>
  </x:si>
  <x:si>
    <x:t xml:space="preserve">Palmeiras - Vasco da Gama</x:t>
  </x:si>
  <x:si>
    <x:t xml:space="preserve">4-1</x:t>
  </x:si>
  <x:si>
    <x:t xml:space="preserve">Criciúma - Fortaleza</x:t>
  </x:si>
  <x:si>
    <x:t xml:space="preserve">Chapecoense - São Paulo</x:t>
  </x:si>
  <x:si>
    <x:t xml:space="preserve">Vitória - Bahia</x:t>
  </x:si>
  <x:si>
    <x:t xml:space="preserve">Coritiba - Corinthians</x:t>
  </x:si>
  <x:si>
    <x:t xml:space="preserve">Santos - Mirassol</x:t>
  </x:si>
  <x:si>
    <x:t xml:space="preserve">PAOK - Levadiakos</x:t>
  </x:si>
  <x:si>
    <x:t xml:space="preserve">PAOK</x:t>
  </x:si>
  <x:si>
    <x:t xml:space="preserve">Live</x:t>
  </x:si>
  <x:si>
    <x:t xml:space="preserve">Ponte Preta - Avaí</x:t>
  </x:si>
  <x:si>
    <x:t xml:space="preserve">Avaí</x:t>
  </x:si>
  <x:si>
    <x:t xml:space="preserve">Mais de 4.5</x:t>
  </x:si>
  <x:si>
    <x:t xml:space="preserve">Over gols</x:t>
  </x:si>
  <x:si>
    <x:t xml:space="preserve">São Bernardo - Náutico</x:t>
  </x:si>
  <x:si>
    <x:t xml:space="preserve">São Bernardo</x:t>
  </x:si>
  <x:si>
    <x:t xml:space="preserve">20913432402</x:t>
  </x:si>
  <x:si>
    <x:t xml:space="preserve">25/08/2026 15:43</x:t>
  </x:si>
  <x:si>
    <x:t xml:space="preserve">Cardiff City - Norwich City</x:t>
  </x:si>
  <x:si>
    <x:t xml:space="preserve">Norwich City</x:t>
  </x:si>
  <x:si>
    <x:t xml:space="preserve">20913438712</x:t>
  </x:si>
  <x:si>
    <x:t xml:space="preserve">25/08/2026 15:44</x:t>
  </x:si>
  <x:si>
    <x:t xml:space="preserve">Osters IF - GIF Sundsvall</x:t>
  </x:si>
  <x:si>
    <x:t xml:space="preserve">Osters IF</x:t>
  </x:si>
  <x:si>
    <x:t xml:space="preserve">20913471562</x:t>
  </x:si>
  <x:si>
    <x:t xml:space="preserve">25/08/2026 15:48</x:t>
  </x:si>
  <x:si>
    <x:t xml:space="preserve">Sportivo Italiano - Defensores Unidos</x:t>
  </x:si>
  <x:si>
    <x:t xml:space="preserve">Não confirmado</x:t>
  </x:si>
  <x:si>
    <x:t xml:space="preserve">20913540272</x:t>
  </x:si>
  <x:si>
    <x:t xml:space="preserve">25/08/2026 15:55</x:t>
  </x:si>
  <x:si>
    <x:t xml:space="preserve">Cruzeiro - Atlético-MG</x:t>
  </x:si>
  <x:si>
    <x:t xml:space="preserve">20913544612</x:t>
  </x:si>
  <x:si>
    <x:t xml:space="preserve">25/08/2026 15:56</x:t>
  </x:si>
  <x:si>
    <x:t xml:space="preserve">Juventude-RS - CRB</x:t>
  </x:si>
  <x:si>
    <x:t xml:space="preserve">20913548352</x:t>
  </x:si>
  <x:si>
    <x:t xml:space="preserve">Independiente del Valle - Deportes Tolima</x:t>
  </x:si>
  <x:si>
    <x:t xml:space="preserve">Independiente del Valle</x:t>
  </x:si>
  <x:si>
    <x:t xml:space="preserve">3-1</x:t>
  </x:si>
  <x:si>
    <x:t xml:space="preserve">20913558652</x:t>
  </x:si>
  <x:si>
    <x:t xml:space="preserve">25/08/2026 15:57</x:t>
  </x:si>
  <x:si>
    <x:t xml:space="preserve">Atlético-GO - Botafogo-SP</x:t>
  </x:si>
  <x:si>
    <x:t xml:space="preserve">Resultado Correto</x:t>
  </x:si>
  <x:si>
    <x:t xml:space="preserve">Placar correto</x:t>
  </x:si>
  <x:si>
    <x:t xml:space="preserve">20913609522</x:t>
  </x:si>
  <x:si>
    <x:t xml:space="preserve">25/08/2026 16:03</x:t>
  </x:si>
  <x:si>
    <x:t xml:space="preserve">20913645612</x:t>
  </x:si>
  <x:si>
    <x:t xml:space="preserve">25/08/2026 16:08</x:t>
  </x:si>
  <x:si>
    <x:t xml:space="preserve">Cucuta Deportivo - Alianza FC</x:t>
  </x:si>
  <x:si>
    <x:t xml:space="preserve">Chance Dupla</x:t>
  </x:si>
  <x:si>
    <x:t xml:space="preserve">X2</x:t>
  </x:si>
  <x:si>
    <x:t xml:space="preserve">Chance dupla</x:t>
  </x:si>
  <x:si>
    <x:t xml:space="preserve">20913663382</x:t>
  </x:si>
  <x:si>
    <x:t xml:space="preserve">25/08/2026 16:11</x:t>
  </x:si>
  <x:si>
    <x:t xml:space="preserve">Al-Ettifaq - Al-Nassr FC</x:t>
  </x:si>
  <x:si>
    <x:t xml:space="preserve">Al-Ettifaq</x:t>
  </x:si>
  <x:si>
    <x:t xml:space="preserve">2-3</x:t>
  </x:si>
  <x:si>
    <x:t xml:space="preserve">CRUZEIRO-CASHOUT-2508</x:t>
  </x:si>
  <x:si>
    <x:t xml:space="preserve">25/08/2026 16:13</x:t>
  </x:si>
  <x:si>
    <x:t xml:space="preserve">Cruzeiro</x:t>
  </x:si>
  <x:si>
    <x:t xml:space="preserve">BOCA-CASHOUT-2508</x:t>
  </x:si>
  <x:si>
    <x:t xml:space="preserve">25/08/2026 18:33</x:t>
  </x:si>
  <x:si>
    <x:t xml:space="preserve">Boca Juniors de Cali - Bogota</x:t>
  </x:si>
  <x:si>
    <x:t xml:space="preserve">Menos de 3.5</x:t>
  </x:si>
  <x:si>
    <x:t xml:space="preserve">2MAYO-2508</x:t>
  </x:si>
  <x:si>
    <x:t xml:space="preserve">25/08/2026 18:31</x:t>
  </x:si>
  <x:si>
    <x:t xml:space="preserve">2 de Mayo - Guarani Asuncion</x:t>
  </x:si>
  <x:si>
    <x:t xml:space="preserve">2 de Mayo</x:t>
  </x:si>
  <x:si>
    <x:t xml:space="preserve">20915730062</x:t>
  </x:si>
  <x:si>
    <x:t xml:space="preserve">25/08/2026 20:30</x:t>
  </x:si>
  <x:si>
    <x:t xml:space="preserve">1X</x:t>
  </x:si>
  <x:si>
    <x:t xml:space="preserve">20920050792</x:t>
  </x:si>
  <x:si>
    <x:t xml:space="preserve">26/08/2026 15:13</x:t>
  </x:si>
  <x:si>
    <x:t xml:space="preserve">Odds BK - Kongsvinger</x:t>
  </x:si>
  <x:si>
    <x:t xml:space="preserve">Kongsvinger</x:t>
  </x:si>
  <x:si>
    <x:t xml:space="preserve">20920044632</x:t>
  </x:si>
  <x:si>
    <x:t xml:space="preserve">26/08/2026 15:12</x:t>
  </x:si>
  <x:si>
    <x:t xml:space="preserve">Stabaek IF - Ranheim</x:t>
  </x:si>
  <x:si>
    <x:t xml:space="preserve">Stabaek IF</x:t>
  </x:si>
  <x:si>
    <x:t xml:space="preserve">4-2</x:t>
  </x:si>
  <x:si>
    <x:t xml:space="preserve">20920131432</x:t>
  </x:si>
  <x:si>
    <x:t xml:space="preserve">26/08/2026 15:23</x:t>
  </x:si>
  <x:si>
    <x:t xml:space="preserve">Chaco For Ever - San Miguel</x:t>
  </x:si>
  <x:si>
    <x:t xml:space="preserve">20920053412</x:t>
  </x:si>
  <x:si>
    <x:t xml:space="preserve">Moss FK - Sogndal IL</x:t>
  </x:si>
  <x:si>
    <x:t xml:space="preserve">Moss FK</x:t>
  </x:si>
  <x:si>
    <x:t xml:space="preserve">20920151652</x:t>
  </x:si>
  <x:si>
    <x:t xml:space="preserve">26/08/2026 15:26</x:t>
  </x:si>
  <x:si>
    <x:t xml:space="preserve">Petrojet FC - Talaea El Gaish</x:t>
  </x:si>
  <x:si>
    <x:t xml:space="preserve">20920143652</x:t>
  </x:si>
  <x:si>
    <x:t xml:space="preserve">26/08/2026 15:25</x:t>
  </x:si>
  <x:si>
    <x:t xml:space="preserve">National Bank - El Zamalek</x:t>
  </x:si>
  <x:si>
    <x:t xml:space="preserve">0-3</x:t>
  </x:si>
  <x:si>
    <x:t xml:space="preserve">20920173162</x:t>
  </x:si>
  <x:si>
    <x:t xml:space="preserve">26/08/2026 15:29</x:t>
  </x:si>
  <x:si>
    <x:t xml:space="preserve">Real Madrid - Real Sociedad</x:t>
  </x:si>
  <x:si>
    <x:t xml:space="preserve">Resultado Final SuperOdds</x:t>
  </x:si>
  <x:si>
    <x:t xml:space="preserve">278</x:t>
  </x:si>
  <x:si>
    <x:t xml:space="preserve">20920168712</x:t>
  </x:si>
  <x:si>
    <x:t xml:space="preserve">26/08/2026 15:28</x:t>
  </x:si>
  <x:si>
    <x:t xml:space="preserve">Al-Ahli SFC - Auckland FC</x:t>
  </x:si>
  <x:si>
    <x:t xml:space="preserve">20920195352</x:t>
  </x:si>
  <x:si>
    <x:t xml:space="preserve">26/08/2026 15:31</x:t>
  </x:si>
  <x:si>
    <x:t xml:space="preserve">Atlético Nacional - Deportivo Cali</x:t>
  </x:si>
  <x:si>
    <x:t xml:space="preserve">Atlético Nacional</x:t>
  </x:si>
  <x:si>
    <x:t xml:space="preserve">20920186922</x:t>
  </x:si>
  <x:si>
    <x:t xml:space="preserve">26/08/2026 15:30</x:t>
  </x:si>
  <x:si>
    <x:t xml:space="preserve">Palmeiras - Santos</x:t>
  </x:si>
  <x:si>
    <x:t xml:space="preserve">20921207182</x:t>
  </x:si>
  <x:si>
    <x:t xml:space="preserve">26/08/2026 17:40</x:t>
  </x:si>
  <x:si>
    <x:t xml:space="preserve">Lyon - Fenerbahce SK</x:t>
  </x:si>
  <x:si>
    <x:t xml:space="preserve">Fenerbahce SK</x:t>
  </x:si>
  <x:si>
    <x:t xml:space="preserve">20920207942</x:t>
  </x:si>
  <x:si>
    <x:t xml:space="preserve">26/08/2026 15:32</x:t>
  </x:si>
  <x:si>
    <x:t xml:space="preserve">Vasco da Gama - Vitória</x:t>
  </x:si>
  <x:si>
    <x:t xml:space="preserve">Vasco da Gama</x:t>
  </x:si>
  <x:si>
    <x:t xml:space="preserve">20921228622</x:t>
  </x:si>
  <x:si>
    <x:t xml:space="preserve">26/08/2026 17:42</x:t>
  </x:si>
  <x:si>
    <x:t xml:space="preserve">SCU Torreense (F) - Kolos Kovalivka (F)</x:t>
  </x:si>
  <x:si>
    <x:t xml:space="preserve">Menos de 5.5</x:t>
  </x:si>
  <x:si>
    <x:t xml:space="preserve">6-1</x:t>
  </x:si>
  <x:si>
    <x:t xml:space="preserve">20921217002</x:t>
  </x:si>
  <x:si>
    <x:t xml:space="preserve">26/08/2026 17:41</x:t>
  </x:si>
  <x:si>
    <x:t xml:space="preserve">AEK Atenas - PFC Levski Sofia</x:t>
  </x:si>
  <x:si>
    <x:t xml:space="preserve">Menos de 4.5</x:t>
  </x:si>
  <x:si>
    <x:t xml:space="preserve">20921689402</x:t>
  </x:si>
  <x:si>
    <x:t xml:space="preserve">26/08/2026 18:37</x:t>
  </x:si>
  <x:si>
    <x:t xml:space="preserve">20921687382</x:t>
  </x:si>
  <x:si>
    <x:t xml:space="preserve">20923127742</x:t>
  </x:si>
  <x:si>
    <x:t xml:space="preserve">26/08/2026 21:10</x:t>
  </x:si>
  <x:si>
    <x:t xml:space="preserve">Santos - Total de Gols</x:t>
  </x:si>
  <x:si>
    <x:t xml:space="preserve">Menos de 0.5</x:t>
  </x:si>
  <x:si>
    <x:t xml:space="preserve">20923066702</x:t>
  </x:si>
  <x:si>
    <x:t xml:space="preserve">26/08/2026 21:06</x:t>
  </x:si>
  <x:si>
    <x:t xml:space="preserve">20920177622</x:t>
  </x:si>
  <x:si>
    <x:t xml:space="preserve">River Plate - Independiente Santa Fe</x:t>
  </x:si>
  <x:si>
    <x:t xml:space="preserve">River Plate</x:t>
  </x:si>
  <x:si>
    <x:t xml:space="preserve">20929364492</x:t>
  </x:si>
  <x:si>
    <x:t xml:space="preserve">27/08/2026 19:10</x:t>
  </x:si>
  <x:si>
    <x:t xml:space="preserve">Internacional - Grêmio</x:t>
  </x:si>
  <x:si>
    <x:t xml:space="preserve">Internacional</x:t>
  </x:si>
  <x:si>
    <x:t xml:space="preserve">Entrada ao vivo</x:t>
  </x:si>
  <x:si>
    <x:t xml:space="preserve">209292535442</x:t>
  </x:si>
  <x:si>
    <x:t xml:space="preserve">27/08/2026 18:56</x:t>
  </x:si>
  <x:si>
    <x:t xml:space="preserve">Ambas equipes Marcam</x:t>
  </x:si>
  <x:si>
    <x:t xml:space="preserve">BTTS Não</x:t>
  </x:si>
  <x:si>
    <x:t xml:space="preserve">20929253792</x:t>
  </x:si>
  <x:si>
    <x:t xml:space="preserve">27/08/2026 18:55</x:t>
  </x:si>
  <x:si>
    <x:t xml:space="preserve">20929223392</x:t>
  </x:si>
  <x:si>
    <x:t xml:space="preserve">27/08/2026 18:53</x:t>
  </x:si>
  <x:si>
    <x:t xml:space="preserve">Estudiantes de La Plata - Barracas Central</x:t>
  </x:si>
  <x:si>
    <x:t xml:space="preserve">Estudiantes de La Plata</x:t>
  </x:si>
  <x:si>
    <x:t xml:space="preserve">20929220712</x:t>
  </x:si>
  <x:si>
    <x:t xml:space="preserve">27/08/2026 18:51</x:t>
  </x:si>
  <x:si>
    <x:t xml:space="preserve">CA Platense - Instituto AC Cordoba</x:t>
  </x:si>
  <x:si>
    <x:t xml:space="preserve">20929215272</x:t>
  </x:si>
  <x:si>
    <x:t xml:space="preserve">Internacional de Bogota - Deportivo Pasto</x:t>
  </x:si>
  <x:si>
    <x:t xml:space="preserve">Internacional de Bogota</x:t>
  </x:si>
  <x:si>
    <x:t xml:space="preserve">20928782742</x:t>
  </x:si>
  <x:si>
    <x:t xml:space="preserve">27/08/2026 17:52</x:t>
  </x:si>
  <x:si>
    <x:t xml:space="preserve">Larne FC - Lincoln Red Imps FC</x:t>
  </x:si>
  <x:si>
    <x:t xml:space="preserve">Resultado na Prorrogação</x:t>
  </x:si>
  <x:si>
    <x:t xml:space="preserve">Lincoln Red Imps FC</x:t>
  </x:si>
  <x:si>
    <x:t xml:space="preserve">0-3 (após prorrogação)</x:t>
  </x:si>
  <x:si>
    <x:t xml:space="preserve">Live / prorrogação</x:t>
  </x:si>
  <x:si>
    <x:t xml:space="preserve">20928763782</x:t>
  </x:si>
  <x:si>
    <x:t xml:space="preserve">27/08/2026 17:49</x:t>
  </x:si>
  <x:si>
    <x:t xml:space="preserve">Fulham FC - AFC Wimbledon</x:t>
  </x:si>
  <x:si>
    <x:t xml:space="preserve">20928757582</x:t>
  </x:si>
  <x:si>
    <x:t xml:space="preserve">27/08/2026 17:48</x:t>
  </x:si>
  <x:si>
    <x:t xml:space="preserve">Barcelona - Athletic Bilbao</x:t>
  </x:si>
  <x:si>
    <x:t xml:space="preserve">Mais de 1.5</x:t>
  </x:si>
  <x:si>
    <x:t xml:space="preserve">2-0</x:t>
  </x:si>
  <x:si>
    <x:t xml:space="preserve">20927738382</x:t>
  </x:si>
  <x:si>
    <x:t xml:space="preserve">27/08/2026 15:29</x:t>
  </x:si>
  <x:si>
    <x:t xml:space="preserve">Monaco - Gornik Zabrze</x:t>
  </x:si>
  <x:si>
    <x:t xml:space="preserve">20927602612</x:t>
  </x:si>
  <x:si>
    <x:t xml:space="preserve">27/08/2026 15:13</x:t>
  </x:si>
  <x:si>
    <x:t xml:space="preserve">FC Copenhagen - FC Inter Turku</x:t>
  </x:si>
  <x:si>
    <x:t xml:space="preserve">20927593812</x:t>
  </x:si>
  <x:si>
    <x:t xml:space="preserve">27/08/2026 15:11</x:t>
  </x:si>
  <x:si>
    <x:t xml:space="preserve">Live; cash out</x:t>
  </x:si>
  <x:si>
    <x:t xml:space="preserve">20927586162</x:t>
  </x:si>
  <x:si>
    <x:t xml:space="preserve">27/08/2026 15:10</x:t>
  </x:si>
  <x:si>
    <x:t xml:space="preserve">20927570212</x:t>
  </x:si>
  <x:si>
    <x:t xml:space="preserve">27/08/2026 15:08</x:t>
  </x:si>
  <x:si>
    <x:t xml:space="preserve">Austria Viena - SC Braga</x:t>
  </x:si>
  <x:si>
    <x:t xml:space="preserve">20927565812</x:t>
  </x:si>
  <x:si>
    <x:t xml:space="preserve">27/08/2026 15:07</x:t>
  </x:si>
  <x:si>
    <x:t xml:space="preserve">20927561812</x:t>
  </x:si>
  <x:si>
    <x:t xml:space="preserve">Celta de Vigo - Osasuna</x:t>
  </x:si>
  <x:si>
    <x:t xml:space="preserve">20927540712</x:t>
  </x:si>
  <x:si>
    <x:t xml:space="preserve">27/08/2026 15:04</x:t>
  </x:si>
  <x:si>
    <x:t xml:space="preserve">Fulham FC</x:t>
  </x:si>
  <x:si>
    <x:t xml:space="preserve">20927539142</x:t>
  </x:si>
  <x:si>
    <x:t xml:space="preserve">Chelsea - Luton Town</x:t>
  </x:si>
  <x:si>
    <x:t xml:space="preserve">Chelsea</x:t>
  </x:si>
  <x:si>
    <x:t xml:space="preserve">20927530412</x:t>
  </x:si>
  <x:si>
    <x:t xml:space="preserve">27/08/2026 15:03</x:t>
  </x:si>
  <x:si>
    <x:t xml:space="preserve">Celta de Vigo</x:t>
  </x:si>
  <x:si>
    <x:t xml:space="preserve">20927524432</x:t>
  </x:si>
  <x:si>
    <x:t xml:space="preserve">27/08/2026 15:02</x:t>
  </x:si>
  <x:si>
    <x:t xml:space="preserve">Barcelona</x:t>
  </x:si>
  <x:si>
    <x:t xml:space="preserve">20933955162</x:t>
  </x:si>
  <x:si>
    <x:t xml:space="preserve">28/08/2026 13:18</x:t>
  </x:si>
  <x:si>
    <x:t xml:space="preserve">FC KTP Kotka - FC Haka Valkeakoski</x:t>
  </x:si>
  <x:si>
    <x:t xml:space="preserve">FC KTP Kotka</x:t>
  </x:si>
  <x:si>
    <x:t xml:space="preserve">20933958662</x:t>
  </x:si>
  <x:si>
    <x:t xml:space="preserve">28/08/2026 13:19</x:t>
  </x:si>
  <x:si>
    <x:t xml:space="preserve">FC Voluntari - FC Otelul Galati</x:t>
  </x:si>
  <x:si>
    <x:t xml:space="preserve">FC Voluntari</x:t>
  </x:si>
  <x:si>
    <x:t xml:space="preserve">20933969092</x:t>
  </x:si>
  <x:si>
    <x:t xml:space="preserve">28/08/2026 13:20</x:t>
  </x:si>
  <x:si>
    <x:t xml:space="preserve">Al-Riyadh SC - Neom SC</x:t>
  </x:si>
  <x:si>
    <x:t xml:space="preserve">Neom SC</x:t>
  </x:si>
  <x:si>
    <x:t xml:space="preserve">20933986432</x:t>
  </x:si>
  <x:si>
    <x:t xml:space="preserve">28/08/2026 13:21</x:t>
  </x:si>
  <x:si>
    <x:t xml:space="preserve">Dibba AL Fujairah - Gulf United FC</x:t>
  </x:si>
  <x:si>
    <x:t xml:space="preserve">4-3</x:t>
  </x:si>
  <x:si>
    <x:t xml:space="preserve">20934003662</x:t>
  </x:si>
  <x:si>
    <x:t xml:space="preserve">28/08/2026 13:23</x:t>
  </x:si>
  <x:si>
    <x:t xml:space="preserve">20935729002</x:t>
  </x:si>
  <x:si>
    <x:t xml:space="preserve">28/08/2026 16:15</x:t>
  </x:si>
  <x:si>
    <x:t xml:space="preserve">Grêmio Novorizontino - Sport Recife</x:t>
  </x:si>
  <x:si>
    <x:t xml:space="preserve">20935735932</x:t>
  </x:si>
  <x:si>
    <x:t xml:space="preserve">28/08/2026 16:16</x:t>
  </x:si>
  <x:si>
    <x:t xml:space="preserve">Goiás - São Bernardo</x:t>
  </x:si>
  <x:si>
    <x:t xml:space="preserve">20935733362</x:t>
  </x:si>
  <x:si>
    <x:t xml:space="preserve">Mais de 2.5</x:t>
  </x:si>
  <x:si>
    <x:t xml:space="preserve">Cash out integral</x:t>
  </x:si>
  <x:si>
    <x:t xml:space="preserve">20935747642</x:t>
  </x:si>
  <x:si>
    <x:t xml:space="preserve">28/08/2026 16:19</x:t>
  </x:si>
  <x:si>
    <x:t xml:space="preserve">Deportivo Alavés - Villarreal CF</x:t>
  </x:si>
  <x:si>
    <x:t xml:space="preserve">20935746602</x:t>
  </x:si>
  <x:si>
    <x:t xml:space="preserve">20935752112</x:t>
  </x:si>
  <x:si>
    <x:t xml:space="preserve">28/08/2026 16:20</x:t>
  </x:si>
  <x:si>
    <x:t xml:space="preserve">Liverpool - Nottingham Forest</x:t>
  </x:si>
  <x:si>
    <x:t xml:space="preserve">20935751252</x:t>
  </x:si>
  <x:si>
    <x:t xml:space="preserve">Liverpool</x:t>
  </x:si>
  <x:si>
    <x:t xml:space="preserve">20935755612</x:t>
  </x:si>
  <x:si>
    <x:t xml:space="preserve">28/08/2026 16:21</x:t>
  </x:si>
  <x:si>
    <x:t xml:space="preserve">20935762052</x:t>
  </x:si>
  <x:si>
    <x:t xml:space="preserve">28/08/2026 16:22</x:t>
  </x:si>
  <x:si>
    <x:t xml:space="preserve">20935776532</x:t>
  </x:si>
  <x:si>
    <x:t xml:space="preserve">28/08/2026 16:24</x:t>
  </x:si>
  <x:si>
    <x:t xml:space="preserve">Náutico - Athletic Club MG</x:t>
  </x:si>
  <x:si>
    <x:t xml:space="preserve">Náutico</x:t>
  </x:si>
  <x:si>
    <x:t xml:space="preserve">20937430012</x:t>
  </x:si>
  <x:si>
    <x:t xml:space="preserve">28/08/2026 19:30</x:t>
  </x:si>
  <x:si>
    <x:t xml:space="preserve">Sportivo San Lorenzo - Nacional Asuncion</x:t>
  </x:si>
  <x:si>
    <x:t xml:space="preserve">20937446262</x:t>
  </x:si>
  <x:si>
    <x:t xml:space="preserve">28/08/2026 19:32</x:t>
  </x:si>
  <x:si>
    <x:t xml:space="preserve">Union de Santa Fe - CA Sarmiento</x:t>
  </x:si>
  <x:si>
    <x:t xml:space="preserve">20937456042</x:t>
  </x:si>
  <x:si>
    <x:t xml:space="preserve">28/08/2026 19:33</x:t>
  </x:si>
  <x:si>
    <x:t xml:space="preserve">General Caballero JLM - Deportivo Capiata</x:t>
  </x:si>
  <x:si>
    <x:t xml:space="preserve">Mais de 3.5</x:t>
  </x:si>
  <x:si>
    <x:t xml:space="preserve">20944961252</x:t>
  </x:si>
  <x:si>
    <x:t xml:space="preserve">29/08/2026 14:37</x:t>
  </x:si>
  <x:si>
    <x:t xml:space="preserve">Inter Miami CF - CF Montreal</x:t>
  </x:si>
  <x:si>
    <x:t xml:space="preserve">BTTS Sim</x:t>
  </x:si>
  <x:si>
    <x:t xml:space="preserve">20944995742</x:t>
  </x:si>
  <x:si>
    <x:t xml:space="preserve">29/08/2026 14:41</x:t>
  </x:si>
  <x:si>
    <x:t xml:space="preserve">Juventus FC - Parma Calcio 1913</x:t>
  </x:si>
  <x:si>
    <x:t xml:space="preserve">Criar Aposta</x:t>
  </x:si>
  <x:si>
    <x:t xml:space="preserve">Juventus FC + Menos de 3.5</x:t>
  </x:si>
  <x:si>
    <x:t xml:space="preserve">Favorito + Under</x:t>
  </x:si>
  <x:si>
    <x:t xml:space="preserve">20945040582</x:t>
  </x:si>
  <x:si>
    <x:t xml:space="preserve">29/08/2026 14:45</x:t>
  </x:si>
  <x:si>
    <x:t xml:space="preserve">Lyon - Le Havre AC</x:t>
  </x:si>
  <x:si>
    <x:t xml:space="preserve">Lyon + Menos de 4.5</x:t>
  </x:si>
  <x:si>
    <x:t xml:space="preserve">20945194672</x:t>
  </x:si>
  <x:si>
    <x:t xml:space="preserve">29/08/2026 15:01</x:t>
  </x:si>
  <x:si>
    <x:t xml:space="preserve">Galatasaray - Goztepe SK</x:t>
  </x:si>
  <x:si>
    <x:t xml:space="preserve">Galatasaray + Mais de 1.5</x:t>
  </x:si>
  <x:si>
    <x:t xml:space="preserve">Favorito + Over</x:t>
  </x:si>
  <x:si>
    <x:t xml:space="preserve">20945370372</x:t>
  </x:si>
  <x:si>
    <x:t xml:space="preserve">29/08/2026 15:16</x:t>
  </x:si>
  <x:si>
    <x:t xml:space="preserve">Real Sociedad - Espanyol</x:t>
  </x:si>
  <x:si>
    <x:t xml:space="preserve">Próximo gol</x:t>
  </x:si>
  <x:si>
    <x:t xml:space="preserve">Real Sociedad</x:t>
  </x:si>
  <x:si>
    <x:t xml:space="preserve">Próximo gol equipe</x:t>
  </x:si>
  <x:si>
    <x:t xml:space="preserve">20945327872</x:t>
  </x:si>
  <x:si>
    <x:t xml:space="preserve">29/08/2026 15:12</x:t>
  </x:si>
  <x:si>
    <x:t xml:space="preserve">Botafogo-SP - Cuiabá</x:t>
  </x:si>
  <x:si>
    <x:t xml:space="preserve">20945490402</x:t>
  </x:si>
  <x:si>
    <x:t xml:space="preserve">29/08/2026 15:25</x:t>
  </x:si>
  <x:si>
    <x:t xml:space="preserve">Independiente del Valle - Universidad Catolica Ecuador</x:t>
  </x:si>
  <x:si>
    <x:t xml:space="preserve">20945462312</x:t>
  </x:si>
  <x:si>
    <x:t xml:space="preserve">29/08/2026 15:23</x:t>
  </x:si>
  <x:si>
    <x:t xml:space="preserve">Deportivo Riestra - Velez Sarsfield</x:t>
  </x:si>
  <x:si>
    <x:t xml:space="preserve">Mais de 0.5</x:t>
  </x:si>
  <x:si>
    <x:t xml:space="preserve">20946786212</x:t>
  </x:si>
  <x:si>
    <x:t xml:space="preserve">29/08/2026 17:33</x:t>
  </x:si>
  <x:si>
    <x:t xml:space="preserve">Amazonas AM - Ypiranga-RS</x:t>
  </x:si>
  <x:si>
    <x:t xml:space="preserve">20945551222</x:t>
  </x:si>
  <x:si>
    <x:t xml:space="preserve">29/08/2026 15:29</x:t>
  </x:si>
  <x:si>
    <x:t xml:space="preserve">Al-Fateh SC - Al-Ittihad Club</x:t>
  </x:si>
  <x:si>
    <x:t xml:space="preserve">Al-Ittihad Club</x:t>
  </x:si>
  <x:si>
    <x:t xml:space="preserve">20946795952</x:t>
  </x:si>
  <x:si>
    <x:t xml:space="preserve">29/08/2026 17:34</x:t>
  </x:si>
  <x:si>
    <x:t xml:space="preserve">Guarani-SP - Brusque SC</x:t>
  </x:si>
  <x:si>
    <x:t xml:space="preserve">Menos de 3.5 + Mais de 0.5</x:t>
  </x:si>
  <x:si>
    <x:t xml:space="preserve">Faixa de gols</x:t>
  </x:si>
  <x:si>
    <x:t xml:space="preserve">20946805852</x:t>
  </x:si>
  <x:si>
    <x:t xml:space="preserve">29/08/2026 17:35</x:t>
  </x:si>
  <x:si>
    <x:t xml:space="preserve">Figueirense - Maranhao MA</x:t>
  </x:si>
  <x:si>
    <x:t xml:space="preserve">Mais de 2.5 + Menos de 5.5</x:t>
  </x:si>
  <x:si>
    <x:t xml:space="preserve">20947689842</x:t>
  </x:si>
  <x:si>
    <x:t xml:space="preserve">29/08/2026 18:52</x:t>
  </x:si>
  <x:si>
    <x:t xml:space="preserve">Atlético-MG - Vitória</x:t>
  </x:si>
  <x:si>
    <x:t xml:space="preserve">Mais de 0.5 + Menos de 4.5</x:t>
  </x:si>
  <x:si>
    <x:t xml:space="preserve">20948073682</x:t>
  </x:si>
  <x:si>
    <x:t xml:space="preserve">29/08/2026 19:43</x:t>
  </x:si>
  <x:si>
    <x:t xml:space="preserve">Vasco da Gama - Cruzeiro</x:t>
  </x:si>
  <x:si>
    <x:t xml:space="preserve">20947707362</x:t>
  </x:si>
  <x:si>
    <x:t xml:space="preserve">29/08/2026 18:54</x:t>
  </x:si>
  <x:si>
    <x:t xml:space="preserve">20948080002</x:t>
  </x:si>
  <x:si>
    <x:t xml:space="preserve">São Paulo - Bragantino</x:t>
  </x:si>
  <x:si>
    <x:t xml:space="preserve">Mais de 1.5 + Menos de 4.5</x:t>
  </x:si>
  <x:si>
    <x:t xml:space="preserve">20949075092</x:t>
  </x:si>
  <x:si>
    <x:t xml:space="preserve">29/08/2026 21:49</x:t>
  </x:si>
  <x:si>
    <x:t xml:space="preserve">D.C. United - Los Angeles FC</x:t>
  </x:si>
  <x:si>
    <x:t xml:space="preserve">Menos de 1.5</x:t>
  </x:si>
  <x:si>
    <x:t xml:space="preserve">20949149012</x:t>
  </x:si>
  <x:si>
    <x:t xml:space="preserve">29/08/2026 22:01</x:t>
  </x:si>
  <x:si>
    <x:t xml:space="preserve">Club Atletico Tucuman - CA Belgrano</x:t>
  </x:si>
  <x:si>
    <x:t xml:space="preserve">Total de gols - 1º Tempo</x:t>
  </x:si>
  <x:si>
    <x:t xml:space="preserve">20949098892</x:t>
  </x:si>
  <x:si>
    <x:t xml:space="preserve">29/08/2026 21:53</x:t>
  </x:si>
  <x:si>
    <x:t xml:space="preserve">Alianza Lima - Deportivo Garcilaso</x:t>
  </x:si>
  <x:si>
    <x:t xml:space="preserve">20950232342</x:t>
  </x:si>
  <x:si>
    <x:t xml:space="preserve">30/08/2026 01:02</x:t>
  </x:si>
  <x:si>
    <x:t xml:space="preserve">FC Utrecht - PSV Eindhoven</x:t>
  </x:si>
  <x:si>
    <x:t xml:space="preserve">PSV Eindhoven + Mais de 2.5</x:t>
  </x:si>
  <x:si>
    <x:t xml:space="preserve">1-6</x:t>
  </x:si>
  <x:si>
    <x:t xml:space="preserve">Pagamento antecipado</x:t>
  </x:si>
  <x:si>
    <x:t xml:space="preserve">20950225362</x:t>
  </x:si>
  <x:si>
    <x:t xml:space="preserve">30/08/2026 01:00</x:t>
  </x:si>
  <x:si>
    <x:t xml:space="preserve">SC Telstar - AFC Ajax</x:t>
  </x:si>
  <x:si>
    <x:t xml:space="preserve">AFC Ajax + Mais de 2.5</x:t>
  </x:si>
  <x:si>
    <x:t xml:space="preserve">0-4</x:t>
  </x:si>
  <x:si>
    <x:t xml:space="preserve">20950220822</x:t>
  </x:si>
  <x:si>
    <x:t xml:space="preserve">30/08/2026 00:59</x:t>
  </x:si>
  <x:si>
    <x:t xml:space="preserve">Real Madrid - Málaga CF</x:t>
  </x:si>
  <x:si>
    <x:t xml:space="preserve">Real Madrid + Mais de 1.5 + Menos de 5.5</x:t>
  </x:si>
  <x:si>
    <x:t xml:space="preserve">Favorito + Faixa de gols</x:t>
  </x:si>
  <x:si>
    <x:t xml:space="preserve">20950204162</x:t>
  </x:si>
  <x:si>
    <x:t xml:space="preserve">30/08/2026 00:54</x:t>
  </x:si>
  <x:si>
    <x:t xml:space="preserve">Cagliari - Inter de Milão</x:t>
  </x:si>
  <x:si>
    <x:t xml:space="preserve">Inter de Milão</x:t>
  </x:si>
  <x:si>
    <x:t xml:space="preserve">20950192132</x:t>
  </x:si>
  <x:si>
    <x:t xml:space="preserve">30/08/2026 00:51</x:t>
  </x:si>
  <x:si>
    <x:t xml:space="preserve">Bahia - Internacional</x:t>
  </x:si>
  <x:si>
    <x:t xml:space="preserve">Bahia</x:t>
  </x:si>
  <x:si>
    <x:t xml:space="preserve">20950190722</x:t>
  </x:si>
  <x:si>
    <x:t xml:space="preserve">Grêmio - Chapecoense</x:t>
  </x:si>
  <x:si>
    <x:t xml:space="preserve">Grêmio</x:t>
  </x:si>
  <x:si>
    <x:t xml:space="preserve">20950185072</x:t>
  </x:si>
  <x:si>
    <x:t xml:space="preserve">30/08/2026 00:50</x:t>
  </x:si>
  <x:si>
    <x:t xml:space="preserve">Athletico-PR - Fluminense</x:t>
  </x:si>
  <x:si>
    <x:t xml:space="preserve">Athletico-PR</x:t>
  </x:si>
  <x:si>
    <x:t xml:space="preserve">3-3</x:t>
  </x:si>
  <x:si>
    <x:t xml:space="preserve">Encerramento antecipado; retorno abaixo da stake</x:t>
  </x:si>
  <x:si>
    <x:t xml:space="preserve">20950184642</x:t>
  </x:si>
  <x:si>
    <x:t xml:space="preserve">Mirassol - Palmeiras</x:t>
  </x:si>
  <x:si>
    <x:t xml:space="preserve">20950183702</x:t>
  </x:si>
  <x:si>
    <x:t xml:space="preserve">30/08/2026 00:49</x:t>
  </x:si>
  <x:si>
    <x:t xml:space="preserve">Flamengo - Botafogo-RJ</x:t>
  </x:si>
  <x:si>
    <x:t xml:space="preserve">Encerramento antecipado; retorno acima da stake</x:t>
  </x:si>
  <x:si>
    <x:t xml:space="preserve">20951715512</x:t>
  </x:si>
  <x:si>
    <x:t xml:space="preserve">30/08/2026 09:08</x:t>
  </x:si>
  <x:si>
    <x:t xml:space="preserve">BET-3008-MIR-PAL-BTTS</x:t>
  </x:si>
  <x:si>
    <x:t xml:space="preserve">30/08/2026 15:20</x:t>
  </x:si>
  <x:si>
    <x:t xml:space="preserve">BTTS Sim + Mais de 1.5 + Menos de 5.5</x:t>
  </x:si>
  <x:si>
    <x:t xml:space="preserve">BTTS + Faixa de gols</x:t>
  </x:si>
  <x:si>
    <x:t xml:space="preserve">ID não informado no print</x:t>
  </x:si>
  <x:si>
    <x:t xml:space="preserve">BET-3008-BAH-INT-RANGE</x:t>
  </x:si>
  <x:si>
    <x:t xml:space="preserve">Mais de 0.5 + Menos de 3.5</x:t>
  </x:si>
  <x:si>
    <x:t xml:space="preserve">20950246082</x:t>
  </x:si>
  <x:si>
    <x:t xml:space="preserve">30/08/2026 01:06</x:t>
  </x:si>
  <x:si>
    <x:t xml:space="preserve">Corinthians - Santos</x:t>
  </x:si>
  <x:si>
    <x:t xml:space="preserve">20956476492</x:t>
  </x:si>
  <x:si>
    <x:t xml:space="preserve">30/08/2026 15:25</x:t>
  </x:si>
  <x:si>
    <x:t xml:space="preserve">20956542492</x:t>
  </x:si>
  <x:si>
    <x:t xml:space="preserve">30/08/2026 15:29</x:t>
  </x:si>
  <x:si>
    <x:t xml:space="preserve">BTTS Sim + Mais de 0.5 + Menos de 5.5</x:t>
  </x:si>
  <x:si>
    <x:t xml:space="preserve">20956997342</x:t>
  </x:si>
  <x:si>
    <x:t xml:space="preserve">30/08/2026 15:53</x:t>
  </x:si>
  <x:si>
    <x:t xml:space="preserve">Grêmio + Menos de 4.5</x:t>
  </x:si>
  <x:si>
    <x:t xml:space="preserve">20957568122</x:t>
  </x:si>
  <x:si>
    <x:t xml:space="preserve">30/08/2026 16:42</x:t>
  </x:si>
  <x:si>
    <x:t xml:space="preserve">Avaí - Atlético-GO</x:t>
  </x:si>
  <x:si>
    <x:t xml:space="preserve">20957586372</x:t>
  </x:si>
  <x:si>
    <x:t xml:space="preserve">30/08/2026 16:44</x:t>
  </x:si>
  <x:si>
    <x:t xml:space="preserve">Monaco - Olympique de Marseille</x:t>
  </x:si>
  <x:si>
    <x:t xml:space="preserve">20959461842</x:t>
  </x:si>
  <x:si>
    <x:t xml:space="preserve">30/08/2026 19:10</x:t>
  </x:si>
  <x:si>
    <x:t xml:space="preserve">Curico Unido - Deportes Recoleta</x:t>
  </x:si>
  <x:si>
    <x:t xml:space="preserve">Mais de 0.5 + Menos de 4.5 + Empate 1º Tempo</x:t>
  </x:si>
  <x:si>
    <x:t xml:space="preserve">Faixa de gols + HT</x:t>
  </x:si>
  <x:si>
    <x:t xml:space="preserve">20959465792</x:t>
  </x:si>
  <x:si>
    <x:t xml:space="preserve">CRB - Criciúma</x:t>
  </x:si>
  <x:si>
    <x:t xml:space="preserve">20959472092</x:t>
  </x:si>
  <x:si>
    <x:t xml:space="preserve">30/08/2026 19:11</x:t>
  </x:si>
  <x:si>
    <x:t xml:space="preserve">Independiente Medellin - Llaneros FC</x:t>
  </x:si>
  <x:si>
    <x:t xml:space="preserve">20963979722</x:t>
  </x:si>
  <x:si>
    <x:t xml:space="preserve">31/08/2026 14:55</x:t>
  </x:si>
  <x:si>
    <x:t xml:space="preserve">Aston Villa - Arsenal</x:t>
  </x:si>
  <x:si>
    <x:t xml:space="preserve">Arsenal</x:t>
  </x:si>
  <x:si>
    <x:t xml:space="preserve">20963983882</x:t>
  </x:si>
  <x:si>
    <x:t xml:space="preserve">31/08/2026 14:56</x:t>
  </x:si>
  <x:si>
    <x:t xml:space="preserve">Fortaleza - Operário-PR</x:t>
  </x:si>
  <x:si>
    <x:t xml:space="preserve">Fortaleza</x:t>
  </x:si>
  <x:si>
    <x:t xml:space="preserve">20964017582</x:t>
  </x:si>
  <x:si>
    <x:t xml:space="preserve">31/08/2026 15:01</x:t>
  </x:si>
  <x:si>
    <x:t xml:space="preserve">Instituto AC Cordoba - San Lorenzo</x:t>
  </x:si>
  <x:si>
    <x:t xml:space="preserve">Menos de 2.5 + BTTS Não</x:t>
  </x:si>
  <x:si>
    <x:t xml:space="preserve">Under + BTTS Não</x:t>
  </x:si>
  <x:si>
    <x:t xml:space="preserve">20964021332</x:t>
  </x:si>
  <x:si>
    <x:t xml:space="preserve">CA Tigre - Barracas Central</x:t>
  </x:si>
  <x:si>
    <x:t xml:space="preserve">20964025432</x:t>
  </x:si>
  <x:si>
    <x:t xml:space="preserve">31/08/2026 15:02</x:t>
  </x:si>
  <x:si>
    <x:t xml:space="preserve">Menos de 3.5 + BTTS Não</x:t>
  </x:si>
  <x:si>
    <x:t xml:space="preserve">20964028302</x:t>
  </x:si>
  <x:si>
    <x:t xml:space="preserve">31/08/2026 15:03</x:t>
  </x:si>
  <x:si>
    <x:t xml:space="preserve">Deportivo Pasto - Deportivo Pereira</x:t>
  </x:si>
  <x:si>
    <x:t xml:space="preserve">20964033892</x:t>
  </x:si>
  <x:si>
    <x:t xml:space="preserve">SL Benfica - Estoril</x:t>
  </x:si>
  <x:si>
    <x:t xml:space="preserve">Mais de 2.5 + BTTS Sim</x:t>
  </x:si>
  <x:si>
    <x:t xml:space="preserve">Over + BTTS Sim</x:t>
  </x:si>
  <x:si>
    <x:t xml:space="preserve">20964037312</x:t>
  </x:si>
  <x:si>
    <x:t xml:space="preserve">31/08/2026 15:04</x:t>
  </x:si>
  <x:si>
    <x:t xml:space="preserve">Atalanta - Bologna FC</x:t>
  </x:si>
  <x:si>
    <x:t xml:space="preserve">20964040892</x:t>
  </x:si>
  <x:si>
    <x:t xml:space="preserve">Dijon FCO - Saint-Étienne</x:t>
  </x:si>
  <x:si>
    <x:t xml:space="preserve">Mais de 1.5 + BTTS Sim</x:t>
  </x:si>
  <x:si>
    <x:t xml:space="preserve">20966036992</x:t>
  </x:si>
  <x:si>
    <x:t xml:space="preserve">31/08/2026 18:59</x:t>
  </x:si>
  <x:si>
    <x:t xml:space="preserve">Remo - Coritiba</x:t>
  </x:si>
  <x:si>
    <x:t xml:space="preserve">20966038652</x:t>
  </x:si>
  <x:si>
    <x:t xml:space="preserve">20966385372</x:t>
  </x:si>
  <x:si>
    <x:t xml:space="preserve">31/08/2026 19:44</x:t>
  </x:si>
  <x:si>
    <x:t xml:space="preserve">Estudiantes de La Plata - Newells Old Boys</x:t>
  </x:si>
  <x:si>
    <x:t xml:space="preserve">Entrada live com forte domínio/xG do Estudiantes</x:t>
  </x:si>
  <x:si>
    <x:t xml:space="preserve">20966393062</x:t>
  </x:si>
  <x:si>
    <x:t xml:space="preserve">31/08/2026 19:45</x:t>
  </x:si>
  <x:si>
    <x:t xml:space="preserve">20967596162</x:t>
  </x:si>
  <x:si>
    <x:t xml:space="preserve">31/08/2026 22:37</x:t>
  </x:si>
  <x:si>
    <x:t xml:space="preserve">20967604972</x:t>
  </x:si>
  <x:si>
    <x:t xml:space="preserve">31/08/2026 22:39</x:t>
  </x:si>
  <x:si>
    <x:t xml:space="preserve">Gimnasia Jujuy - CA Agropecuario</x:t>
  </x:si>
  <x:si>
    <x:t xml:space="preserve">Menos de 2.5 + Gimnasia Jujuy</x:t>
  </x:si>
  <x:si>
    <x:t xml:space="preserve">Vitória + Under</x:t>
  </x:si>
  <x:si>
    <x:t xml:space="preserve">20967666112</x:t>
  </x:si>
  <x:si>
    <x:t xml:space="preserve">31/08/2026 22:56</x:t>
  </x:si>
  <x:si>
    <x:t xml:space="preserve">Universidad Católica - O'Higgins</x:t>
  </x:si>
  <x:si>
    <x:t xml:space="preserve">Universidad Católica</x:t>
  </x:si>
  <x:si>
    <x:t xml:space="preserve">20967670612</x:t>
  </x:si>
  <x:si>
    <x:t xml:space="preserve">31/08/2026 22:58</x:t>
  </x:si>
  <x:si>
    <x:t xml:space="preserve">Deportes Tolima - Cucuta Deportivo</x:t>
  </x:si>
  <x:si>
    <x:t xml:space="preserve">Deportes Tolima</x:t>
  </x:si>
  <x:si>
    <x:t xml:space="preserve">Barranquilla FC - Boca Juniors de Cali</x:t>
  </x:si>
  <x:si>
    <x:t xml:space="preserve">GE Bage - Passo Fundo</x:t>
  </x:si>
  <x:si>
    <x:t xml:space="preserve">Passo Fundo</x:t>
  </x:si>
  <x:si>
    <x:t xml:space="preserve">Atlético-MG - Cruzeiro</x:t>
  </x:si>
  <x:si>
    <x:t xml:space="preserve">Mais de 0.5 + Menos de 5.5 + BTTS Sim</x:t>
  </x:si>
  <x:si>
    <x:t xml:space="preserve">2 de Mayo - Sportivo Luqueno</x:t>
  </x:si>
  <x:si>
    <x:t xml:space="preserve">Sheffield United - Bolton</x:t>
  </x:si>
  <x:si>
    <x:t xml:space="preserve">West Ham United - Wolverhampton</x:t>
  </x:si>
  <x:si>
    <x:t xml:space="preserve">Preston - Bristol City</x:t>
  </x:si>
  <x:si>
    <x:t xml:space="preserve">Delfin SC - CD Tecnico Universitario</x:t>
  </x:si>
  <x:si>
    <x:t xml:space="preserve">BET-0109-LDU-MUSH-X2</x:t>
  </x:si>
  <x:si>
    <x:t xml:space="preserve">LDU Quito - Mushuc Runa</x:t>
  </x:si>
  <x:si>
    <x:t xml:space="preserve">Cash out positivo</x:t>
  </x:si>
  <x:si>
    <x:t xml:space="preserve">BET-0109-FORT-ONCE</x:t>
  </x:si>
  <x:si>
    <x:t xml:space="preserve">Fortaleza CEIF - Once Caldas</x:t>
  </x:si>
  <x:si>
    <x:t xml:space="preserve">Once Caldas</x:t>
  </x:si>
  <x:si>
    <x:t xml:space="preserve">BET-0109-VINTO-AURORA-X2</x:t>
  </x:si>
  <x:si>
    <x:t xml:space="preserve">Universitario de Vinto - Club Aurora</x:t>
  </x:si>
  <x:si>
    <x:t xml:space="preserve">BET-0109-RIOVERDE-TRINDADE</x:t>
  </x:si>
  <x:si>
    <x:t xml:space="preserve">Rio Verde GO - Trindade GO</x:t>
  </x:si>
  <x:si>
    <x:t xml:space="preserve">Rio Verde + BTTS Não</x:t>
  </x:si>
  <x:si>
    <x:t xml:space="preserve">Vitória + BTTS Não</x:t>
  </x:si>
  <x:si>
    <x:t xml:space="preserve">BET-0109-SANDO</x:t>
  </x:si>
  <x:si>
    <x:t xml:space="preserve">Defence Force FC - Club Sando</x:t>
  </x:si>
  <x:si>
    <x:t xml:space="preserve">Club Sando</x:t>
  </x:si>
  <x:si>
    <x:t xml:space="preserve">BET-0109-2MAYO-U35</x:t>
  </x:si>
  <x:si>
    <x:t xml:space="preserve">BET-0109-SWANSEA-O25</x:t>
  </x:si>
  <x:si>
    <x:t xml:space="preserve">Swansea City - Watford</x:t>
  </x:si>
  <x:si>
    <x:t xml:space="preserve">BET-0109-SWANSEA-ML</x:t>
  </x:si>
  <x:si>
    <x:t xml:space="preserve">Swansea City</x:t>
  </x:si>
  <x:si>
    <x:t xml:space="preserve">BET-0109-LON-JUV-U25</x:t>
  </x:si>
  <x:si>
    <x:t xml:space="preserve">Londrina-PR - Juventude-RS</x:t>
  </x:si>
  <x:si>
    <x:t xml:space="preserve">BET-0109-JUV-DNB</x:t>
  </x:si>
  <x:si>
    <x:t xml:space="preserve">Empate Anula</x:t>
  </x:si>
  <x:si>
    <x:t xml:space="preserve">Juventude-RS</x:t>
  </x:si>
  <x:si>
    <x:t xml:space="preserve">Anulada</x:t>
  </x:si>
  <x:si>
    <x:t xml:space="preserve">Aposta anulada; stake devolvida</x:t>
  </x:si>
  <x:si>
    <x:t xml:space="preserve">Bristol City</x:t>
  </x:si>
  <x:si>
    <x:t xml:space="preserve">20979354382</x:t>
  </x:si>
  <x:si>
    <x:t xml:space="preserve">02/09/2026 18:07</x:t>
  </x:si>
  <x:si>
    <x:t xml:space="preserve">Barcelona Guayaquil - Independiente del Valle</x:t>
  </x:si>
  <x:si>
    <x:t xml:space="preserve">BTTS Sim + Menos de 4.5</x:t>
  </x:si>
  <x:si>
    <x:t xml:space="preserve">BTTS + Under</x:t>
  </x:si>
  <x:si>
    <x:t xml:space="preserve">Green</x:t>
  </x:si>
  <x:si>
    <x:t xml:space="preserve">20979331252</x:t>
  </x:si>
  <x:si>
    <x:t xml:space="preserve">02/09/2026 18:04</x:t>
  </x:si>
  <x:si>
    <x:t xml:space="preserve">Coquimbo Unido - Universidad de Concepcion</x:t>
  </x:si>
  <x:si>
    <x:t xml:space="preserve">Red</x:t>
  </x:si>
  <x:si>
    <x:t xml:space="preserve">20979194402</x:t>
  </x:si>
  <x:si>
    <x:t xml:space="preserve">02/09/2026 17:51</x:t>
  </x:si>
  <x:si>
    <x:t xml:space="preserve">Santos - Palmeiras</x:t>
  </x:si>
  <x:si>
    <x:t xml:space="preserve">20979186182</x:t>
  </x:si>
  <x:si>
    <x:t xml:space="preserve">02/09/2026 17:50</x:t>
  </x:si>
  <x:si>
    <x:t xml:space="preserve">20979166152</x:t>
  </x:si>
  <x:si>
    <x:t xml:space="preserve">02/09/2026 17:48</x:t>
  </x:si>
  <x:si>
    <x:t xml:space="preserve">Vitória - Vasco da Gama</x:t>
  </x:si>
  <x:si>
    <x:t xml:space="preserve">Mais de 1.5 + Menos de 3.5</x:t>
  </x:si>
  <x:si>
    <x:t xml:space="preserve">20979159392</x:t>
  </x:si>
  <x:si>
    <x:t xml:space="preserve">02/09/2026 17:47</x:t>
  </x:si>
  <x:si>
    <x:t xml:space="preserve">20979076412</x:t>
  </x:si>
  <x:si>
    <x:t xml:space="preserve">02/09/2026 17:39</x:t>
  </x:si>
  <x:si>
    <x:t xml:space="preserve">Flamengo - Mirassol</x:t>
  </x:si>
  <x:si>
    <x:t xml:space="preserve">Mais de 1.5 + Menos de 4.5 + 1X</x:t>
  </x:si>
  <x:si>
    <x:t xml:space="preserve">Faixa de gols + Chance dupla</x:t>
  </x:si>
  <x:si>
    <x:t xml:space="preserve">20979028792</x:t>
  </x:si>
  <x:si>
    <x:t xml:space="preserve">02/09/2026 17:34</x:t>
  </x:si>
  <x:si>
    <x:t xml:space="preserve">20978557462</x:t>
  </x:si>
  <x:si>
    <x:t xml:space="preserve">02/09/2026 16:28</x:t>
  </x:si>
  <x:si>
    <x:t xml:space="preserve">Millwall FC - Wrexham FC</x:t>
  </x:si>
  <x:si>
    <x:t xml:space="preserve">Menos de 3.5 + BTTS Sim + Millwall próximo gol</x:t>
  </x:si>
  <x:si>
    <x:t xml:space="preserve">Under + BTTS + Próximo gol</x:t>
  </x:si>
  <x:si>
    <x:t xml:space="preserve">20977446802</x:t>
  </x:si>
  <x:si>
    <x:t xml:space="preserve">02/09/2026 13:49</x:t>
  </x:si>
  <x:si>
    <x:t xml:space="preserve">FC Zbrojovka Brno - FC Hradec Kralove</x:t>
  </x:si>
  <x:si>
    <x:t xml:space="preserve">20977423952</x:t>
  </x:si>
  <x:si>
    <x:t xml:space="preserve">02/09/2026 13:46</x:t>
  </x:si>
  <x:si>
    <x:t xml:space="preserve">Udinese - Venezia</x:t>
  </x:si>
  <x:si>
    <x:t xml:space="preserve">20977412572</x:t>
  </x:si>
  <x:si>
    <x:t xml:space="preserve">02/09/2026 13:44</x:t>
  </x:si>
  <x:si>
    <x:t xml:space="preserve">Brodd - Viking FK</x:t>
  </x:si>
  <x:si>
    <x:t xml:space="preserve">Viking FK</x:t>
  </x:si>
  <x:si>
    <x:t xml:space="preserve">1-3</x:t>
  </x:si>
  <x:si>
    <x:t xml:space="preserve">20976468672</x:t>
  </x:si>
  <x:si>
    <x:t xml:space="preserve">02/09/2026 11:38</x:t>
  </x:si>
  <x:si>
    <x:t xml:space="preserve">Cape Town City FC - Leicesterford City</x:t>
  </x:si>
  <x:si>
    <x:t xml:space="preserve">20976464382</x:t>
  </x:si>
  <x:si>
    <x:t xml:space="preserve">02/09/2026 11:37</x:t>
  </x:si>
  <x:si>
    <x:t xml:space="preserve">Sassuolo - Frosinone</x:t>
  </x:si>
  <x:si>
    <x:t xml:space="preserve">20976457182</x:t>
  </x:si>
  <x:si>
    <x:t xml:space="preserve">02/09/2026 11:36</x:t>
  </x:si>
  <x:si>
    <x:t xml:space="preserve">Scottland FC - Platinum</x:t>
  </x:si>
  <x:si>
    <x:t xml:space="preserve">Menos de 1.5 + Scottland FC / BTTS Não</x:t>
  </x:si>
  <x:si>
    <x:t xml:space="preserve">Under + Resultado/BTTS</x:t>
  </x:si>
  <x:si>
    <x:t xml:space="preserve">20976306492</x:t>
  </x:si>
  <x:si>
    <x:t xml:space="preserve">02/09/2026 11:06</x:t>
  </x:si>
  <x:si>
    <x:t xml:space="preserve">AE Larissa - Olympiacos</x:t>
  </x:si>
  <x:si>
    <x:t xml:space="preserve">Olympiacos</x:t>
  </x:si>
  <x:si>
    <x:t xml:space="preserve">20976305362</x:t>
  </x:si>
  <x:si>
    <x:t xml:space="preserve">PAOK - OFI Creta</x:t>
  </x:si>
  <x:si>
    <x:t xml:space="preserve">20976298442</x:t>
  </x:si>
  <x:si>
    <x:t xml:space="preserve">02/09/2026 11:05</x:t>
  </x:si>
  <x:si>
    <x:t xml:space="preserve">Salzburg - Rapid Viena</x:t>
  </x:si>
  <x:si>
    <x:t xml:space="preserve">BTTS Sim + Mais de 2.5</x:t>
  </x:si>
  <x:si>
    <x:t xml:space="preserve">BTTS + Over</x:t>
  </x:si>
  <x:si>
    <x:t xml:space="preserve">5-1</x:t>
  </x:si>
  <x:si>
    <x:t xml:space="preserve">20976274102</x:t>
  </x:si>
  <x:si>
    <x:t xml:space="preserve">02/09/2026 10:59</x:t>
  </x:si>
  <x:si>
    <x:t xml:space="preserve">Celtic - Aberdeen FC</x:t>
  </x:si>
  <x:si>
    <x:t xml:space="preserve">Celtic + Mais de 1.5 + Menos de 6.5</x:t>
  </x:si>
  <x:si>
    <x:t xml:space="preserve">20976268702</x:t>
  </x:si>
  <x:si>
    <x:t xml:space="preserve">02/09/2026 10:58</x:t>
  </x:si>
  <x:si>
    <x:t xml:space="preserve">Macará - Manta FC</x:t>
  </x:si>
  <x:si>
    <x:t xml:space="preserve">Macará</x:t>
  </x:si>
  <x:si>
    <x:t xml:space="preserve">03/09/2026 21:47</x:t>
  </x:si>
  <x:si>
    <x:t xml:space="preserve">Deportivo Pereira - Independiente Medellin</x:t>
  </x:si>
  <x:si>
    <x:t xml:space="preserve">Independiente Medellin + Menos de 4.5</x:t>
  </x:si>
  <x:si>
    <x:t xml:space="preserve">Vitória equipe + Under</x:t>
  </x:si>
  <x:si>
    <x:t xml:space="preserve">03/09/2026 21:43</x:t>
  </x:si>
  <x:si>
    <x:t xml:space="preserve">Libertad Loja - CS Emelec</x:t>
  </x:si>
  <x:si>
    <x:t xml:space="preserve">03/09/2026 21:42</x:t>
  </x:si>
  <x:si>
    <x:t xml:space="preserve">Cavalier FC - Portmore United</x:t>
  </x:si>
  <x:si>
    <x:t xml:space="preserve">03/09/2026 21:37</x:t>
  </x:si>
  <x:si>
    <x:t xml:space="preserve">CSA - Nacional AM</x:t>
  </x:si>
  <x:si>
    <x:t xml:space="preserve">03/09/2026 16:57</x:t>
  </x:si>
  <x:si>
    <x:t xml:space="preserve">Grêmio - Internacional</x:t>
  </x:si>
  <x:si>
    <x:t xml:space="preserve">Qualificar-se</x:t>
  </x:si>
  <x:si>
    <x:t xml:space="preserve">Qualificação</x:t>
  </x:si>
  <x:si>
    <x:t xml:space="preserve">Mais de 0.5 + BTTS Não</x:t>
  </x:si>
  <x:si>
    <x:t xml:space="preserve">Over + BTTS Não</x:t>
  </x:si>
  <x:si>
    <x:t xml:space="preserve">03/09/2026 16:55</x:t>
  </x:si>
  <x:si>
    <x:t xml:space="preserve">Deportivo Recoleta - Cerro Porteño</x:t>
  </x:si>
  <x:si>
    <x:t xml:space="preserve">Mais de 1.5 + Menos de 4.5 + BTTS Sim</x:t>
  </x:si>
  <x:si>
    <x:t xml:space="preserve">Faixa de gols + BTTS</x:t>
  </x:si>
  <x:si>
    <x:t xml:space="preserve">03/09/2026 16:50</x:t>
  </x:si>
  <x:si>
    <x:t xml:space="preserve">Independiente Medellin</x:t>
  </x:si>
  <x:si>
    <x:t xml:space="preserve">03/09/2026 16:48</x:t>
  </x:si>
  <x:si>
    <x:t xml:space="preserve">Náutico - Botafogo-SP</x:t>
  </x:si>
  <x:si>
    <x:t xml:space="preserve">03/09/2026 16:47</x:t>
  </x:si>
  <x:si>
    <x:t xml:space="preserve">America de Cali - Alianza FC</x:t>
  </x:si>
  <x:si>
    <x:t xml:space="preserve">America de Cali + Mais de 1.5 + Menos de 4.5</x:t>
  </x:si>
  <x:si>
    <x:t xml:space="preserve">Vitória equipe + Faixa de gols</x:t>
  </x:si>
  <x:si>
    <x:t xml:space="preserve">20908561522</x:t>
  </x:si>
  <x:si>
    <x:t xml:space="preserve">24/08/2026 19:00</x:t>
  </x:si>
  <x:si>
    <x:t xml:space="preserve">CA Lanús - Argentinos Juniors</x:t>
  </x:si>
  <x:si>
    <x:t xml:space="preserve">20908559202</x:t>
  </x:si>
  <x:si>
    <x:t xml:space="preserve">24/08/2026 18:59</x:t>
  </x:si>
  <x:si>
    <x:t xml:space="preserve">Athletic Club MG - Grêmio Novorizontino</x:t>
  </x:si>
  <x:si>
    <x:t xml:space="preserve">1-4</x:t>
  </x:si>
  <x:si>
    <x:t xml:space="preserve">20908553562</x:t>
  </x:si>
  <x:si>
    <x:t xml:space="preserve">Everton de Vina Del Mar - Universidad de Concepcion</x:t>
  </x:si>
  <x:si>
    <x:t xml:space="preserve">Everton de Vina Del Mar</x:t>
  </x:si>
  <x:si>
    <x:t xml:space="preserve">20908549402</x:t>
  </x:si>
  <x:si>
    <x:t xml:space="preserve">24/08/2026 18:58</x:t>
  </x:si>
  <x:si>
    <x:t xml:space="preserve">CA Tigre - Central Cordoba</x:t>
  </x:si>
  <x:si>
    <x:t xml:space="preserve">CA Tigre</x:t>
  </x:si>
  <x:si>
    <x:t xml:space="preserve">20908543982</x:t>
  </x:si>
  <x:si>
    <x:t xml:space="preserve">Ferro Carril Oeste - CA All Boys</x:t>
  </x:si>
  <x:si>
    <x:t xml:space="preserve">20908525962</x:t>
  </x:si>
  <x:si>
    <x:t xml:space="preserve">24/08/2026 18:55</x:t>
  </x:si>
  <x:si>
    <x:t xml:space="preserve">Ferro Carril Oeste</x:t>
  </x:si>
  <x:si>
    <x:t xml:space="preserve">20908534962</x:t>
  </x:si>
  <x:si>
    <x:t xml:space="preserve">24/08/2026 18:57</x:t>
  </x:si>
  <x:si>
    <x:t xml:space="preserve">Sport Recife - América-MG</x:t>
  </x:si>
  <x:si>
    <x:t xml:space="preserve">Sport Recife</x:t>
  </x:si>
  <x:si>
    <x:t xml:space="preserve">20907795542</x:t>
  </x:si>
  <x:si>
    <x:t xml:space="preserve">24/08/2026 17:19</x:t>
  </x:si>
  <x:si>
    <x:t xml:space="preserve">Stade de Reims - Annecy FC</x:t>
  </x:si>
  <x:si>
    <x:t xml:space="preserve">20907788052</x:t>
  </x:si>
  <x:si>
    <x:t xml:space="preserve">24/08/2026 17:18</x:t>
  </x:si>
  <x:si>
    <x:t xml:space="preserve">Hallescher FC - FC Schalke 04</x:t>
  </x:si>
  <x:si>
    <x:t xml:space="preserve">2-5</x:t>
  </x:si>
  <x:si>
    <x:t xml:space="preserve">20907776182</x:t>
  </x:si>
  <x:si>
    <x:t xml:space="preserve">24/08/2026 17:17</x:t>
  </x:si>
  <x:si>
    <x:t xml:space="preserve">Botafogo-RJ - Athletico-PR</x:t>
  </x:si>
  <x:si>
    <x:t xml:space="preserve">20907772682</x:t>
  </x:si>
  <x:si>
    <x:t xml:space="preserve">24/08/2026 17:16</x:t>
  </x:si>
  <x:si>
    <x:t xml:space="preserve">Fulham FC - Chelsea</x:t>
  </x:si>
  <x:si>
    <x:t xml:space="preserve">Mais de 5.5</x:t>
  </x:si>
  <x:si>
    <x:t xml:space="preserve">20907767582</x:t>
  </x:si>
  <x:si>
    <x:t xml:space="preserve">Roma - Fiorentina</x:t>
  </x:si>
  <x:si>
    <x:t xml:space="preserve">20907435072</x:t>
  </x:si>
  <x:si>
    <x:t xml:space="preserve">24/08/2026 16:20</x:t>
  </x:si>
  <x:si>
    <x:t xml:space="preserve">Roma</x:t>
  </x:si>
  <x:si>
    <x:t xml:space="preserve">20907433142</x:t>
  </x:si>
  <x:si>
    <x:t xml:space="preserve">20906737972</x:t>
  </x:si>
  <x:si>
    <x:t xml:space="preserve">24/08/2026 14:37</x:t>
  </x:si>
  <x:si>
    <x:t xml:space="preserve">VSG Altglienicke - Wolfsburg</x:t>
  </x:si>
  <x:si>
    <x:t xml:space="preserve">20906726392</x:t>
  </x:si>
  <x:si>
    <x:t xml:space="preserve">24/08/2026 14:35</x:t>
  </x:si>
  <x:si>
    <x:t xml:space="preserve">FC Ashdod - Maccabi Kabilio Jaffa</x:t>
  </x:si>
  <x:si>
    <x:t xml:space="preserve">São Paulo - Atlético-MG</x:t>
  </x:si>
  <x:si>
    <x:t xml:space="preserve">CA: Mais de 1.5 e Menos de 4.5</x:t>
  </x:si>
  <x:si>
    <x:t xml:space="preserve">Bragantino - Bahia</x:t>
  </x:si>
  <x:si>
    <x:t xml:space="preserve">Alverca - SC Braga</x:t>
  </x:si>
  <x:si>
    <x:t xml:space="preserve">FC Utrecht - Go Ahead Eagles</x:t>
  </x:si>
  <x:si>
    <x:t xml:space="preserve">CA: Mais de 1.5 e ambas marcam</x:t>
  </x:si>
  <x:si>
    <x:t xml:space="preserve">Rayo Vallecano - Racing Santander</x:t>
  </x:si>
  <x:si>
    <x:t xml:space="preserve">FC Schalke 04 - Bayern de Munique</x:t>
  </x:si>
  <x:si>
    <x:t xml:space="preserve">Bayern de Munique</x:t>
  </x:si>
  <x:si>
    <x:t xml:space="preserve">Hull City - Aston Villa</x:t>
  </x:si>
  <x:si>
    <x:t xml:space="preserve">X2 + Mais de 1.5</x:t>
  </x:si>
  <x:si>
    <x:t xml:space="preserve">Chance dupla + Over</x:t>
  </x:si>
  <x:si>
    <x:t xml:space="preserve">CA: X2 e Mais de 1.5</x:t>
  </x:si>
  <x:si>
    <x:t xml:space="preserve">Werder Bremen - RB Leipzig</x:t>
  </x:si>
  <x:si>
    <x:t xml:space="preserve">X2 + Mais de 0.5 + Menos de 5.5</x:t>
  </x:si>
  <x:si>
    <x:t xml:space="preserve">Chance dupla + Faixa de gols</x:t>
  </x:si>
  <x:si>
    <x:t xml:space="preserve">CA: X2, Mais de 0.5 e Menos de 5.5</x:t>
  </x:si>
  <x:si>
    <x:t xml:space="preserve">Hoffenheim - Borussia Dortmund</x:t>
  </x:si>
  <x:si>
    <x:t xml:space="preserve">CA: Mais de 2.5 e ambas marcam</x:t>
  </x:si>
  <x:si>
    <x:t xml:space="preserve">Manchester City - Coventry City</x:t>
  </x:si>
  <x:si>
    <x:t xml:space="preserve">Manchester City + Mais de 2.5</x:t>
  </x:si>
  <x:si>
    <x:t xml:space="preserve">CA: Manchester City e Mais de 2.5</x:t>
  </x:si>
  <x:si>
    <x:t xml:space="preserve">Roma - Atalanta</x:t>
  </x:si>
  <x:si>
    <x:t xml:space="preserve">Mais de 1.5 + 1X</x:t>
  </x:si>
  <x:si>
    <x:t xml:space="preserve">Over + Chance dupla</x:t>
  </x:si>
  <x:si>
    <x:t xml:space="preserve">CA: Mais de 1.5 e 1X</x:t>
  </x:si>
  <x:si>
    <x:t xml:space="preserve">Inter de Milão - Napoli</x:t>
  </x:si>
  <x:si>
    <x:t xml:space="preserve">1X + Mais de 1.5</x:t>
  </x:si>
  <x:si>
    <x:t xml:space="preserve">CA: 1X e Mais de 1.5</x:t>
  </x:si>
  <x:si>
    <x:t xml:space="preserve">Lens - FC Lorient</x:t>
  </x:si>
  <x:si>
    <x:t xml:space="preserve">Lens</x:t>
  </x:si>
  <x:si>
    <x:t xml:space="preserve">Shanghai Port - Beijing Guoan</x:t>
  </x:si>
  <x:si>
    <x:t xml:space="preserve">Hansa Rostock - SV Wehen Wiesbaden</x:t>
  </x:si>
  <x:si>
    <x:t xml:space="preserve">Mais de 0.5 + Menos de 3.5 + 1X</x:t>
  </x:si>
  <x:si>
    <x:t xml:space="preserve">CA: Mais de 0.5, Menos de 3.5 e 1X</x:t>
  </x:si>
  <x:si>
    <x:t xml:space="preserve">Stade de Reims - Guingamp</x:t>
  </x:si>
  <x:si>
    <x:t xml:space="preserve">Preston - Blackburn Rovers</x:t>
  </x:si>
  <x:si>
    <x:t xml:space="preserve">Newcastle United - AFC Bournemouth</x:t>
  </x:si>
  <x:si>
    <x:t xml:space="preserve">Stoke City - Charlton</x:t>
  </x:si>
  <x:si>
    <x:t xml:space="preserve">21018784362</x:t>
  </x:si>
  <x:si>
    <x:t xml:space="preserve">06/09/2026 22:30</x:t>
  </x:si>
  <x:si>
    <x:t xml:space="preserve">Aucas - Barcelona Guayaquil</x:t>
  </x:si>
  <x:si>
    <x:t xml:space="preserve">21018740332</x:t>
  </x:si>
  <x:si>
    <x:t xml:space="preserve">06/09/2026 22:16</x:t>
  </x:si>
  <x:si>
    <x:t xml:space="preserve">CA Nacional Potosi - Blooming Santa Cruz</x:t>
  </x:si>
  <x:si>
    <x:t xml:space="preserve">Próximo gol (Gol 3)</x:t>
  </x:si>
  <x:si>
    <x:t xml:space="preserve">CA Nacional Potosi</x:t>
  </x:si>
  <x:si>
    <x:t xml:space="preserve">21018677912</x:t>
  </x:si>
  <x:si>
    <x:t xml:space="preserve">06/09/2026 22:02</x:t>
  </x:si>
  <x:si>
    <x:t xml:space="preserve">FBC Melgar - Asociacion Deportiva Tarma</x:t>
  </x:si>
  <x:si>
    <x:t xml:space="preserve">21018342832</x:t>
  </x:si>
  <x:si>
    <x:t xml:space="preserve">06/09/2026 21:03</x:t>
  </x:si>
  <x:si>
    <x:t xml:space="preserve">Palestino - Universidad de Concepcion</x:t>
  </x:si>
  <x:si>
    <x:t xml:space="preserve">Palestino</x:t>
  </x:si>
  <x:si>
    <x:t xml:space="preserve">21018301532</x:t>
  </x:si>
  <x:si>
    <x:t xml:space="preserve">06/09/2026 20:56</x:t>
  </x:si>
  <x:si>
    <x:t xml:space="preserve">Liverpool Montevideo - CA Boston River</x:t>
  </x:si>
  <x:si>
    <x:t xml:space="preserve">21017246912</x:t>
  </x:si>
  <x:si>
    <x:t xml:space="preserve">06/09/2026 18:33</x:t>
  </x:si>
  <x:si>
    <x:t xml:space="preserve">Huachipato - Colo Colo</x:t>
  </x:si>
  <x:si>
    <x:t xml:space="preserve">Próximo gol (Gol 1)</x:t>
  </x:si>
  <x:si>
    <x:t xml:space="preserve">Colo Colo</x:t>
  </x:si>
  <x:si>
    <x:t xml:space="preserve">21017168912</x:t>
  </x:si>
  <x:si>
    <x:t xml:space="preserve">06/09/2026 18:28</x:t>
  </x:si>
  <x:si>
    <x:t xml:space="preserve">Central Cordoba - CA Independiente</x:t>
  </x:si>
  <x:si>
    <x:t xml:space="preserve">21017106782</x:t>
  </x:si>
  <x:si>
    <x:t xml:space="preserve">06/09/2026 18:24</x:t>
  </x:si>
  <x:si>
    <x:t xml:space="preserve">Racing Club - Club Atletico Tucuman</x:t>
  </x:si>
  <x:si>
    <x:t xml:space="preserve">21016635132</x:t>
  </x:si>
  <x:si>
    <x:t xml:space="preserve">06/09/2026 18:00</x:t>
  </x:si>
  <x:si>
    <x:t xml:space="preserve">River Plate - Independiente Rivadavia Mendoza</x:t>
  </x:si>
  <x:si>
    <x:t xml:space="preserve">Mais de 1.5 + 1X + Menos de 4.5</x:t>
  </x:si>
  <x:si>
    <x:t xml:space="preserve">CA: Mais de 1.5, 1X e Menos de 4.5</x:t>
  </x:si>
  <x:si>
    <x:t xml:space="preserve">21016524972</x:t>
  </x:si>
  <x:si>
    <x:t xml:space="preserve">06/09/2026 17:52</x:t>
  </x:si>
  <x:si>
    <x:t xml:space="preserve">Gil Vicente FC - Academico Viseu</x:t>
  </x:si>
  <x:si>
    <x:t xml:space="preserve">21016477132</x:t>
  </x:si>
  <x:si>
    <x:t xml:space="preserve">06/09/2026 17:49</x:t>
  </x:si>
  <x:si>
    <x:t xml:space="preserve">Independiente Petrolero - Bolívar La Paz</x:t>
  </x:si>
  <x:si>
    <x:t xml:space="preserve">21016341512</x:t>
  </x:si>
  <x:si>
    <x:t xml:space="preserve">06/09/2026 17:38</x:t>
  </x:si>
  <x:si>
    <x:t xml:space="preserve">Internacional - Santos</x:t>
  </x:si>
  <x:si>
    <x:t xml:space="preserve">21015980442</x:t>
  </x:si>
  <x:si>
    <x:t xml:space="preserve">06/09/2026 17:06</x:t>
  </x:si>
  <x:si>
    <x:t xml:space="preserve">Olympique de Marseille - Paris FC</x:t>
  </x:si>
  <x:si>
    <x:t xml:space="preserve">21015625082</x:t>
  </x:si>
  <x:si>
    <x:t xml:space="preserve">06/09/2026 16:38</x:t>
  </x:si>
  <x:si>
    <x:t xml:space="preserve">Corinthians - Chapecoense</x:t>
  </x:si>
  <x:si>
    <x:t xml:space="preserve">Menos de 5.5 gols + Mais de 4.5 escanteios + Menos de 13.5 escanteios + Menos de 7.5 cartões</x:t>
  </x:si>
  <x:si>
    <x:t xml:space="preserve">Gols + Escanteios + Cartões</x:t>
  </x:si>
  <x:si>
    <x:t xml:space="preserve">CA combinado</x:t>
  </x:si>
  <x:si>
    <x:t xml:space="preserve">21015105292</x:t>
  </x:si>
  <x:si>
    <x:t xml:space="preserve">06/09/2026 15:56</x:t>
  </x:si>
  <x:si>
    <x:t xml:space="preserve">UD Almería - Cádiz CF</x:t>
  </x:si>
  <x:si>
    <x:t xml:space="preserve">21015101802</x:t>
  </x:si>
  <x:si>
    <x:t xml:space="preserve">Mais de 1.5 + Menos de 5.5 + 1X</x:t>
  </x:si>
  <x:si>
    <x:t xml:space="preserve">CA: Mais de 1.5, Menos de 5.5 e 1X</x:t>
  </x:si>
  <x:si>
    <x:t xml:space="preserve">21014921052</x:t>
  </x:si>
  <x:si>
    <x:t xml:space="preserve">06/09/2026 15:47</x:t>
  </x:si>
  <x:si>
    <x:t xml:space="preserve">FK Vojvodina Novi Sad - FK Zemun</x:t>
  </x:si>
  <x:si>
    <x:t xml:space="preserve">FK Vojvodina Novi Sad + Mais de 1.5 + Menos de 5.5</x:t>
  </x:si>
  <x:si>
    <x:t xml:space="preserve">Vitória + Faixa de gols</x:t>
  </x:si>
  <x:si>
    <x:t xml:space="preserve">21014633632</x:t>
  </x:si>
  <x:si>
    <x:t xml:space="preserve">06/09/2026 15:32</x:t>
  </x:si>
  <x:si>
    <x:t xml:space="preserve">Espanyol - Sevilha FC</x:t>
  </x:si>
  <x:si>
    <x:t xml:space="preserve">21014627822</x:t>
  </x:si>
  <x:si>
    <x:t xml:space="preserve">06/09/2026 15:31</x:t>
  </x:si>
  <x:si>
    <x:t xml:space="preserve">21013932172</x:t>
  </x:si>
  <x:si>
    <x:t xml:space="preserve">06/09/2026 14:44</x:t>
  </x:si>
  <x:si>
    <x:t xml:space="preserve">Juventus FC - AC Milan</x:t>
  </x:si>
  <x:si>
    <x:t xml:space="preserve">Menos de 3.5 + 1X</x:t>
  </x:si>
  <x:si>
    <x:t xml:space="preserve">Under + Chance dupla</x:t>
  </x:si>
  <x:si>
    <x:t xml:space="preserve">CA: Menos de 3.5 e 1X</x:t>
  </x:si>
  <x:si>
    <x:t xml:space="preserve">21013732212</x:t>
  </x:si>
  <x:si>
    <x:t xml:space="preserve">06/09/2026 14:29</x:t>
  </x:si>
  <x:si>
    <x:t xml:space="preserve">21013691162</x:t>
  </x:si>
  <x:si>
    <x:t xml:space="preserve">06/09/2026 14:26</x:t>
  </x:si>
  <x:si>
    <x:t xml:space="preserve">Cruzeiro - Athletico-PR</x:t>
  </x:si>
  <x:si>
    <x:t xml:space="preserve">Mais de 1.5 + Menos de 5.5 + 1X + BTTS Sim</x:t>
  </x:si>
  <x:si>
    <x:t xml:space="preserve">Faixa de gols + Chance dupla + BTTS</x:t>
  </x:si>
  <x:si>
    <x:t xml:space="preserve">Stake corrigida para R$20; retorno R$46,40</x:t>
  </x:si>
  <x:si>
    <x:t xml:space="preserve">21013644032</x:t>
  </x:si>
  <x:si>
    <x:t xml:space="preserve">06/09/2026 14:23</x:t>
  </x:si>
  <x:si>
    <x:t xml:space="preserve">Botafogo-RJ - Palmeiras</x:t>
  </x:si>
  <x:si>
    <x:t xml:space="preserve">Mais de 1.5 + Menos de 5.5 + X2</x:t>
  </x:si>
  <x:si>
    <x:t xml:space="preserve">21013605812</x:t>
  </x:si>
  <x:si>
    <x:t xml:space="preserve">06/09/2026 14:19</x:t>
  </x:si>
  <x:si>
    <x:t xml:space="preserve">21013503732</x:t>
  </x:si>
  <x:si>
    <x:t xml:space="preserve">06/09/2026 14:11</x:t>
  </x:si>
  <x:si>
    <x:t xml:space="preserve">Remo - Flamengo</x:t>
  </x:si>
  <x:si>
    <x:t xml:space="preserve">21013498712</x:t>
  </x:si>
  <x:si>
    <x:t xml:space="preserve">21012756182</x:t>
  </x:si>
  <x:si>
    <x:t xml:space="preserve">06/09/2026 13:12</x:t>
  </x:si>
  <x:si>
    <x:t xml:space="preserve">Molde FK - KFUM Oslo</x:t>
  </x:si>
  <x:si>
    <x:t xml:space="preserve">Mais de 1.5 + BTTS Não</x:t>
  </x:si>
  <x:si>
    <x:t xml:space="preserve">Retorno corrigido para R$19,00</x:t>
  </x:si>
  <x:si>
    <x:t xml:space="preserve">21012591992</x:t>
  </x:si>
  <x:si>
    <x:t xml:space="preserve">06/09/2026 12:59</x:t>
  </x:si>
  <x:si>
    <x:t xml:space="preserve">Hearts - Dundee FC</x:t>
  </x:si>
  <x:si>
    <x:t xml:space="preserve">Hearts</x:t>
  </x:si>
  <x:si>
    <x:t xml:space="preserve">Retorno corrigido para R$38,00</x:t>
  </x:si>
  <x:si>
    <x:t xml:space="preserve">21012492632</x:t>
  </x:si>
  <x:si>
    <x:t xml:space="preserve">06/09/2026 12:51</x:t>
  </x:si>
  <x:si>
    <x:t xml:space="preserve">FC Sion - FC Thun</x:t>
  </x:si>
  <x:si>
    <x:t xml:space="preserve">21012372822</x:t>
  </x:si>
  <x:si>
    <x:t xml:space="preserve">06/09/2026 12:41</x:t>
  </x:si>
  <x:si>
    <x:t xml:space="preserve">Real Oviedo - Burgos CF</x:t>
  </x:si>
  <x:si>
    <x:t xml:space="preserve">21012348762</x:t>
  </x:si>
  <x:si>
    <x:t xml:space="preserve">06/09/2026 12:39</x:t>
  </x:si>
  <x:si>
    <x:t xml:space="preserve">Arsenal - Chelsea</x:t>
  </x:si>
  <x:si>
    <x:t xml:space="preserve">21011357522</x:t>
  </x:si>
  <x:si>
    <x:t xml:space="preserve">06/09/2026 11:17</x:t>
  </x:si>
  <x:si>
    <x:t xml:space="preserve">Valencia - Barcelona</x:t>
  </x:si>
  <x:si>
    <x:t xml:space="preserve">Mais de 2.5 + Barcelona</x:t>
  </x:si>
  <x:si>
    <x:t xml:space="preserve">Over + Vitória equipe</x:t>
  </x:si>
  <x:si>
    <x:t xml:space="preserve">0-5</x:t>
  </x:si>
  <x:si>
    <x:t xml:space="preserve">21011342332</x:t>
  </x:si>
  <x:si>
    <x:t xml:space="preserve">06/09/2026 11:16</x:t>
  </x:si>
  <x:si>
    <x:t xml:space="preserve">21011300702</x:t>
  </x:si>
  <x:si>
    <x:t xml:space="preserve">06/09/2026 11:12</x:t>
  </x:si>
  <x:si>
    <x:t xml:space="preserve">Coritiba - Mirassol</x:t>
  </x:si>
  <x:si>
    <x:t xml:space="preserve">21011295622</x:t>
  </x:si>
  <x:si>
    <x:t xml:space="preserve">21024588172</x:t>
  </x:si>
  <x:si>
    <x:t xml:space="preserve">07/09/2026 22:00</x:t>
  </x:si>
  <x:si>
    <x:t xml:space="preserve">Aposta Esportiva</x:t>
  </x:si>
  <x:si>
    <x:t xml:space="preserve">CS Emelec - Manta FC</x:t>
  </x:si>
  <x:si>
    <x:t xml:space="preserve">21024499722</x:t>
  </x:si>
  <x:si>
    <x:t xml:space="preserve">07/09/2026 21:40</x:t>
  </x:si>
  <x:si>
    <x:t xml:space="preserve">UCV FC - Academia Puerto Cabello</x:t>
  </x:si>
  <x:si>
    <x:t xml:space="preserve">Sem Gol</x:t>
  </x:si>
  <x:si>
    <x:t xml:space="preserve">Próximo gol - sem gol</x:t>
  </x:si>
  <x:si>
    <x:t xml:space="preserve">21024480552</x:t>
  </x:si>
  <x:si>
    <x:t xml:space="preserve">07/09/2026 21:36</x:t>
  </x:si>
  <x:si>
    <x:t xml:space="preserve">Llaneros FC - Deportes Tolima</x:t>
  </x:si>
  <x:si>
    <x:t xml:space="preserve">Menos de 3.5 + Sem Gol (Gol 4) + Deportes Tolima</x:t>
  </x:si>
  <x:si>
    <x:t xml:space="preserve">Under + Próximo gol sem gol + Vitória equipe</x:t>
  </x:si>
  <x:si>
    <x:t xml:space="preserve">21024453332</x:t>
  </x:si>
  <x:si>
    <x:t xml:space="preserve">07/09/2026 21:31</x:t>
  </x:si>
  <x:si>
    <x:t xml:space="preserve">Deportes Limache - Cobresal</x:t>
  </x:si>
  <x:si>
    <x:t xml:space="preserve">21022667322</x:t>
  </x:si>
  <x:si>
    <x:t xml:space="preserve">07/09/2026 16:58</x:t>
  </x:si>
  <x:si>
    <x:t xml:space="preserve">Cerro Porteño - Nacional Asuncion</x:t>
  </x:si>
  <x:si>
    <x:t xml:space="preserve">X2 + Menos de 3.5</x:t>
  </x:si>
  <x:si>
    <x:t xml:space="preserve">21022665292</x:t>
  </x:si>
  <x:si>
    <x:t xml:space="preserve">07/09/2026 16:57</x:t>
  </x:si>
  <x:si>
    <x:t xml:space="preserve">21022650102</x:t>
  </x:si>
  <x:si>
    <x:t xml:space="preserve">07/09/2026 16:55</x:t>
  </x:si>
  <x:si>
    <x:t xml:space="preserve">Mais de 1.5 + CS Emelec</x:t>
  </x:si>
  <x:si>
    <x:t xml:space="preserve">Cash-out parcial; classificado como Red</x:t>
  </x:si>
  <x:si>
    <x:t xml:space="preserve">21022636662</x:t>
  </x:si>
  <x:si>
    <x:t xml:space="preserve">07/09/2026 16:53</x:t>
  </x:si>
  <x:si>
    <x:t xml:space="preserve">21022623272</x:t>
  </x:si>
  <x:si>
    <x:t xml:space="preserve">07/09/2026 16:50</x:t>
  </x:si>
  <x:si>
    <x:t xml:space="preserve">Paysandu - Brusque SC</x:t>
  </x:si>
  <x:si>
    <x:t xml:space="preserve">21022610432</x:t>
  </x:si>
  <x:si>
    <x:t xml:space="preserve">07/09/2026 16:48</x:t>
  </x:si>
  <x:si>
    <x:t xml:space="preserve">Vitória - Grêmio</x:t>
  </x:si>
  <x:si>
    <x:t xml:space="preserve">1X + Menos de 3.5</x:t>
  </x:si>
  <x:si>
    <x:t xml:space="preserve">21021433382</x:t>
  </x:si>
  <x:si>
    <x:t xml:space="preserve">07/09/2026 14:19</x:t>
  </x:si>
  <x:si>
    <x:t xml:space="preserve">Barracas Central - Argentinos Juniors</x:t>
  </x:si>
  <x:si>
    <x:t xml:space="preserve">X2 + BTTS Não</x:t>
  </x:si>
  <x:si>
    <x:t xml:space="preserve">Chance dupla + BTTS Não</x:t>
  </x:si>
  <x:si>
    <x:t xml:space="preserve">21021385912</x:t>
  </x:si>
  <x:si>
    <x:t xml:space="preserve">07/09/2026 14:12</x:t>
  </x:si>
  <x:si>
    <x:t xml:space="preserve">US Palermo - Sampdoria</x:t>
  </x:si>
  <x:si>
    <x:t xml:space="preserve">1X + Mais de 1.5 + Mais de 6.5 escanteios</x:t>
  </x:si>
  <x:si>
    <x:t xml:space="preserve">Chance dupla + Over gols + Escanteios</x:t>
  </x:si>
  <x:si>
    <x:t xml:space="preserve">21021372402</x:t>
  </x:si>
  <x:si>
    <x:t xml:space="preserve">07/09/2026 14:10</x:t>
  </x:si>
  <x:si>
    <x:t xml:space="preserve">Al-Hilal SFC - Neom SC</x:t>
  </x:si>
  <x:si>
    <x:t xml:space="preserve">Mais de 2.5 + Al-Hilal SFC + Mais de 7.5 escanteios</x:t>
  </x:si>
  <x:si>
    <x:t xml:space="preserve">Over gols + Vitória equipe + Escanteios</x:t>
  </x:si>
  <x:si>
    <x:t xml:space="preserve">21020351572</x:t>
  </x:si>
  <x:si>
    <x:t xml:space="preserve">07/09/2026 11:27</x:t>
  </x:si>
  <x:si>
    <x:t xml:space="preserve">Al-Hilal SFC + Mais de 2.5</x:t>
  </x:si>
  <x:si>
    <x:t xml:space="preserve">Vitória equipe + Over gols</x:t>
  </x:si>
  <x:si>
    <x:t xml:space="preserve">21020337842</x:t>
  </x:si>
  <x:si>
    <x:t xml:space="preserve">07/09/2026 11:25</x:t>
  </x:si>
  <x:si>
    <x:t xml:space="preserve">Goztepe SK - Gaziantep FK</x:t>
  </x:si>
  <x:si>
    <x:t xml:space="preserve">2-4</x:t>
  </x:si>
  <x:si>
    <x:t xml:space="preserve">21020335502</x:t>
  </x:si>
  <x:si>
    <x:t xml:space="preserve">07/09/2026 11:24</x:t>
  </x:si>
  <x:si>
    <x:t xml:space="preserve">Chance dupla + Over gols</x:t>
  </x:si>
  <x:si>
    <x:t xml:space="preserve">21020283662</x:t>
  </x:si>
  <x:si>
    <x:t xml:space="preserve">07/09/2026 11:14</x:t>
  </x:si>
  <x:si>
    <x:t xml:space="preserve">Kalmar FF - Djurgardens IF</x:t>
  </x:si>
  <x:si>
    <x:t xml:space="preserve">X2 + Menos de 4.5 + Kalmar FF Menos de 1.5</x:t>
  </x:si>
  <x:si>
    <x:t xml:space="preserve">Chance dupla + Under gols</x:t>
  </x:si>
  <x:si>
    <x:t xml:space="preserve">21020279272</x:t>
  </x:si>
  <x:si>
    <x:t xml:space="preserve">07/09/2026 11:13</x:t>
  </x:si>
  <x:si>
    <x:t xml:space="preserve">Djurgardens IF</x:t>
  </x:si>
  <x:si>
    <x:t xml:space="preserve">21020258832</x:t>
  </x:si>
  <x:si>
    <x:t xml:space="preserve">07/09/2026 11:09</x:t>
  </x:si>
  <x:si>
    <x:t xml:space="preserve">Malmo FF - AIK Fotboll</x:t>
  </x:si>
  <x:si>
    <x:t xml:space="preserve">21020217572</x:t>
  </x:si>
  <x:si>
    <x:t xml:space="preserve">07/09/2026 11:01</x:t>
  </x:si>
  <x:si>
    <x:t xml:space="preserve">Getafe CF - Celta de Vigo</x:t>
  </x:si>
  <x:si>
    <x:t xml:space="preserve">1X + Mais de 0.5 + Menos de 3.5</x:t>
  </x:si>
  <x:si>
    <x:t xml:space="preserve">21020214192</x:t>
  </x:si>
  <x:si>
    <x:t xml:space="preserve">07/09/2026 11:00</x:t>
  </x:si>
  <x:si>
    <x:t xml:space="preserve">21020166522</x:t>
  </x:si>
  <x:si>
    <x:t xml:space="preserve">07/09/2026 10:50</x:t>
  </x:si>
  <x:si>
    <x:t xml:space="preserve">Cagliari - US Lecce</x:t>
  </x:si>
  <x:si>
    <x:t xml:space="preserve">21020163242</x:t>
  </x:si>
  <x:si>
    <x:t xml:space="preserve">07/09/2026 10:49</x:t>
  </x:si>
  <x:si>
    <x:t xml:space="preserve">Tipo</x:t>
  </x:si>
  <x:si>
    <x:t xml:space="preserve">Valor</x:t>
  </x:si>
  <x:si>
    <x:t xml:space="preserve">Impacto no Caixa</x:t>
  </x:si>
  <x:si>
    <x:t xml:space="preserve">Observação</x:t>
  </x:si>
  <x:si>
    <x:t xml:space="preserve">SNAP-2208-INICIAL</x:t>
  </x:si>
  <x:si>
    <x:t xml:space="preserve">Snapshot de saldo</x:t>
  </x:si>
  <x:si>
    <x:t xml:space="preserve">Saldo inicial informado na conta Bet em 22/08/2026; não altera o P&amp;L histórico.</x:t>
  </x:si>
  <x:si>
    <x:t xml:space="preserve">SNAP-2208-FINAL</x:t>
  </x:si>
  <x:si>
    <x:t xml:space="preserve">Snapshot calculado</x:t>
  </x:si>
  <x:si>
    <x:t xml:space="preserve">Saldo estimado após o resultado líquido do dia (+R$22,59), sem considerar outras movimentações não informadas.</x:t>
  </x:si>
  <x:si>
    <x:t xml:space="preserve">SNAP-2308-INICIAL</x:t>
  </x:si>
  <x:si>
    <x:t xml:space="preserve">Saldo inicial de 23/08/2026 igual ao fechamento oficial de 22/08/2026.</x:t>
  </x:si>
  <x:si>
    <x:t xml:space="preserve">SNAP-2308-FINAL</x:t>
  </x:si>
  <x:si>
    <x:t xml:space="preserve">Saldo final real informado na conta Betano em 23/08/2026; resultado líquido do dia +R$11,35.</x:t>
  </x:si>
  <x:si>
    <x:t xml:space="preserve">SNAP-2508-INICIAL</x:t>
  </x:si>
  <x:si>
    <x:t xml:space="preserve">R$0,22 permaneceram após saque de R$185,00; depósito de R$100,00 formou caixa de R$100,22.</x:t>
  </x:si>
  <x:si>
    <x:t xml:space="preserve">SNAP-2508-FINAL</x:t>
  </x:si>
  <x:si>
    <x:t xml:space="preserve">25/08/2026 23:59</x:t>
  </x:si>
  <x:si>
    <x:t xml:space="preserve">Saldo final real Betano. P/L operacional oficial -R$15,44.</x:t>
  </x:si>
  <x:si>
    <x:t xml:space="preserve">SNAP-2608-INICIAL</x:t>
  </x:si>
  <x:si>
    <x:t xml:space="preserve">26/08/2026 00:00</x:t>
  </x:si>
  <x:si>
    <x:t xml:space="preserve">Saldo inicial real informado na Betano em 26/08/2026.</x:t>
  </x:si>
  <x:si>
    <x:t xml:space="preserve">SNAP-2608-FINAL</x:t>
  </x:si>
  <x:si>
    <x:t xml:space="preserve">26/08/2026 23:59</x:t>
  </x:si>
  <x:si>
    <x:t xml:space="preserve">Saldo final real informado na Betano em 27/08 referente ao fechamento de 26/08. Variação real +R$19,07; apostas registradas somam +R$16,47, diferença de reconciliação +R$2,60.</x:t>
  </x:si>
  <x:si>
    <x:t xml:space="preserve">Controle de Eventos e Balanço — Teste / Validação</x:t>
  </x:si>
  <x:si>
    <x:t xml:space="preserve">Indicador</x:t>
  </x:si>
  <x:si>
    <x:t xml:space="preserve">Eventos</x:t>
  </x:si>
  <x:si>
    <x:t xml:space="preserve">Investido</x:t>
  </x:si>
  <x:si>
    <x:t xml:space="preserve">Resultado</x:t>
  </x:si>
  <x:si>
    <x:t xml:space="preserve">ROI</x:t>
  </x:si>
  <x:si>
    <x:t xml:space="preserve">Banca inicial (18/08)</x:t>
  </x:si>
  <x:si>
    <x:t xml:space="preserve">Retorno filtrado</x:t>
  </x:si>
  <x:si>
    <x:t xml:space="preserve">Lucro filtrado</x:t>
  </x:si>
  <x:si>
    <x:t xml:space="preserve">Total de eventos</x:t>
  </x:si>
  <x:si>
    <x:t xml:space="preserve">Total investido</x:t>
  </x:si>
  <x:si>
    <x:t xml:space="preserve">Total retornado</x:t>
  </x:si>
  <x:si>
    <x:t xml:space="preserve">Regra</x:t>
  </x:si>
  <x:si>
    <x:t xml:space="preserve">Saldo = banca inicial + P/L das apostas; saldo da Bet não é contabilizado.</x:t>
  </x:si>
  <x:si>
    <x:t xml:space="preserve">Resultado líquido</x:t>
  </x:si>
  <x:si>
    <x:t xml:space="preserve">ROI do período</x:t>
  </x:si>
  <x:si>
    <x:t xml:space="preserve">Acertos</x:t>
  </x:si>
  <x:si>
    <x:t xml:space="preserve">Erros</x:t>
  </x:si>
  <x:si>
    <x:t xml:space="preserve">Cash Outs</x:t>
  </x:si>
  <x:si>
    <x:t xml:space="preserve">Taxa de acerto</x:t>
  </x:si>
  <x:si>
    <x:t xml:space="preserve">Odd média</x:t>
  </x:si>
  <x:si>
    <x:t xml:space="preserve">Histórico diário — registros atuais</x:t>
  </x:si>
  <x:si>
    <x:t xml:space="preserve">Data</x:t>
  </x:si>
  <x:si>
    <x:t xml:space="preserve">19/08/2026</x:t>
  </x:si>
  <x:si>
    <x:t xml:space="preserve">20/08/2026</x:t>
  </x:si>
  <x:si>
    <x:t xml:space="preserve">21/08/2026</x:t>
  </x:si>
  <x:si>
    <x:t xml:space="preserve">22/08/2026</x:t>
  </x:si>
  <x:si>
    <x:t xml:space="preserve">23/08/2026</x:t>
  </x:si>
  <x:si>
    <x:t xml:space="preserve">24/08/2026</x:t>
  </x:si>
  <x:si>
    <x:t xml:space="preserve">25/08/2026</x:t>
  </x:si>
  <x:si>
    <x:t xml:space="preserve">26/08/2026</x:t>
  </x:si>
  <x:si>
    <x:t xml:space="preserve">27/08/2026</x:t>
  </x:si>
  <x:si>
    <x:t xml:space="preserve">28/08/2026</x:t>
  </x:si>
  <x:si>
    <x:t xml:space="preserve">30/08/2026</x:t>
  </x:si>
  <x:si>
    <x:t xml:space="preserve">31/08/2026</x:t>
  </x:si>
  <x:si>
    <x:t xml:space="preserve">Financeiro Global — Projeto Análises BET</x:t>
  </x:si>
  <x:si>
    <x:t xml:space="preserve">Banca inicial do projeto (18/08/2026)</x:t>
  </x:si>
  <x:si>
    <x:t xml:space="preserve">Saldo global atual</x:t>
  </x:si>
  <x:si>
    <x:t xml:space="preserve">Ajustes externos considerados</x:t>
  </x:si>
  <x:si>
    <x:t xml:space="preserve">Resultado últimos 10 dias</x:t>
  </x:si>
  <x:si>
    <x:t xml:space="preserve">Somente operações com resultado líquido diferente de zero entram nos indicadores; neutras ficam fora.</x:t>
  </x:si>
  <x:si>
    <x:t xml:space="preserve">A tabela abaixo é atualizada automaticamente a partir da aba Eventos.</x:t>
  </x:si>
  <x:si>
    <x:t xml:space="preserve">Saldo Global</x:t>
  </x:si>
  <x:si>
    <x:t xml:space="preserve">Dashboard — Projeto Análises BET</x:t>
  </x:si>
  <x:si>
    <x:t xml:space="preserve">Resultado Diário</x:t>
  </x:si>
  <x:si>
    <x:t xml:space="preserve">Crescimento Acumulado</x:t>
  </x:si>
  <x:si>
    <x:t xml:space="preserve">Mês</x:t>
  </x:si>
  <x:si>
    <x:t xml:space="preserve">Banca Inicial</x:t>
  </x:si>
  <x:si>
    <x:t xml:space="preserve">Banca Final</x:t>
  </x:si>
  <x:si>
    <x:t xml:space="preserve">Crescimento</x:t>
  </x:si>
  <x:si>
    <x:t xml:space="preserve">Resultado Líquido</x:t>
  </x:si>
  <x:si>
    <x:t xml:space="preserve">Banca inicial</x:t>
  </x:si>
  <x:si>
    <x:t xml:space="preserve">Banca atual</x:t>
  </x:si>
  <x:si>
    <x:t xml:space="preserve">Lucro acumulado</x:t>
  </x:si>
  <x:si>
    <x:t xml:space="preserve">Crescimento acumulado</x:t>
  </x:si>
</x:sst>
</file>

<file path=xl/styles.xml><?xml version="1.0" encoding="utf-8"?>
<x:styleSheet xmlns:x="http://schemas.openxmlformats.org/spreadsheetml/2006/main">
  <x:numFmts count="5">
    <x:numFmt numFmtId="164" formatCode="dd/mm/yyyy hh:mm"/>
    <x:numFmt numFmtId="165" formatCode="R$ #,##0.00"/>
    <x:numFmt numFmtId="166" formatCode="d-m"/>
    <x:numFmt numFmtId="200" formatCode="0.00"/>
    <x:numFmt numFmtId="201" formatCode="0.00%"/>
  </x:numFmts>
  <x:fonts count="10">
    <x:font>
      <x:sz val="11"/>
      <x:color rgb="FF000000"/>
      <x:name val="Carlito"/>
    </x:font>
    <x:font>
      <x:color theme="1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b/>
      <x:sz val="14"/>
      <x:color rgb="FFFFFFFF"/>
      <x:name val="Carlito"/>
    </x:font>
    <x:font>
      <x:b/>
      <x:color theme="1"/>
      <x:name val="Carlito"/>
    </x:font>
    <x:font>
      <x:b/>
      <x:color rgb="FFFFFFFF"/>
      <x:name val="Carlito"/>
    </x:font>
    <x:font>
      <x:b/>
      <x:sz val="12"/>
      <x:color theme="1"/>
      <x:name val="Carlito"/>
    </x:font>
    <x:font>
      <x:b/>
      <x:sz val="18"/>
      <x:color rgb="FFFFFFFF"/>
      <x:name val="Carlito"/>
    </x:font>
    <x:font>
      <x:b/>
      <x:sz val="14"/>
      <x:color theme="1"/>
      <x:name val="Carlito"/>
    </x:font>
  </x:fonts>
  <x:fills count="8">
    <x:fill>
      <x:patternFill patternType="none"/>
    </x:fill>
    <x:fill>
      <x:patternFill patternType="lightGray"/>
    </x:fill>
    <x:fill>
      <x:patternFill patternType="solid">
        <x:fgColor rgb="FF183153"/>
      </x:patternFill>
    </x:fill>
    <x:fill>
      <x:patternFill patternType="solid">
        <x:fgColor rgb="FF114772"/>
      </x:patternFill>
    </x:fill>
    <x:fill>
      <x:patternFill patternType="solid">
        <x:fgColor rgb="FF173052"/>
      </x:patternFill>
    </x:fill>
    <x:fill>
      <x:patternFill patternType="solid">
        <x:fgColor rgb="FF0E3049"/>
      </x:patternFill>
    </x:fill>
    <x:fill>
      <x:patternFill patternType="solid">
        <x:fgColor rgb="FFE0EDF2"/>
      </x:patternFill>
    </x:fill>
    <x:fill>
      <x:patternFill patternType="solid">
        <x:fgColor rgb="FFE5F2F9"/>
      </x:patternFill>
    </x:fill>
  </x:fills>
  <x:borders count="1">
    <x:border/>
  </x:borders>
  <x:cellStyleXfs count="1">
    <x:xf numFmtId="0" fontId="0" fillId="0" borderId="0" applyFont="1" applyAlignment="1"/>
  </x:cellStyleXfs>
  <x:cellXfs count="69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/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164" fontId="3" fillId="0" borderId="0" xfId="0" applyNumberFormat="1" applyFont="1" applyAlignment="1">
      <x:alignment vertical="center" wrapText="1"/>
    </x:xf>
    <x:xf numFmtId="165" fontId="3" fillId="0" borderId="0" xfId="0" applyNumberFormat="1" applyFont="1" applyAlignment="1">
      <x:alignment vertical="center" wrapText="1"/>
    </x:xf>
    <x:xf numFmtId="0" fontId="3" fillId="0" borderId="0" xfId="0" applyFont="1" applyAlignment="1">
      <x:alignment wrapText="1"/>
    </x:xf>
    <x:xf numFmtId="164" fontId="3" fillId="0" borderId="0" xfId="0" applyNumberFormat="1" applyFont="1" applyAlignment="1">
      <x:alignment wrapText="1"/>
    </x:xf>
    <x:xf numFmtId="165" fontId="3" fillId="0" borderId="0" xfId="0" applyNumberFormat="1" applyFont="1" applyAlignment="1">
      <x:alignment wrapText="1"/>
    </x:xf>
    <x:xf numFmtId="0" fontId="1" fillId="0" borderId="0" xfId="0" applyFont="1" applyAlignment="1"/>
    <x:xf numFmtId="2" fontId="3" fillId="0" borderId="0" xfId="0" applyNumberFormat="1" applyFont="1" applyAlignment="1">
      <x:alignment vertical="center" wrapText="1"/>
    </x:xf>
    <x:xf numFmtId="10" fontId="3" fillId="0" borderId="0" xfId="0" applyNumberFormat="1" applyFont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5" fillId="0" borderId="0" xfId="0" applyFont="1"/>
    <x:xf numFmtId="0" fontId="6" fillId="4" borderId="0" xfId="0" applyFont="1" applyFill="1" applyAlignment="1">
      <x:alignment horizontal="center"/>
    </x:xf>
    <x:xf numFmtId="165" fontId="1" fillId="0" borderId="0" xfId="0" applyNumberFormat="1" applyFont="1"/>
    <x:xf numFmtId="165" fontId="5" fillId="0" borderId="0" xfId="0" applyNumberFormat="1" applyFont="1" applyAlignment="1">
      <x:alignment horizontal="center"/>
    </x:xf>
    <x:xf numFmtId="165" fontId="1" fillId="0" borderId="0" xfId="0" applyNumberFormat="1" applyFont="1" applyAlignment="1"/>
    <x:xf numFmtId="165" fontId="3" fillId="0" borderId="0" xfId="0" applyNumberFormat="1" applyFont="1" applyAlignment="1">
      <x:alignment vertical="center" wrapText="1"/>
    </x:xf>
    <x:xf numFmtId="0" fontId="7" fillId="0" borderId="0" xfId="0" applyFont="1"/>
    <x:xf numFmtId="0" fontId="8" fillId="5" borderId="0" xfId="0" applyFont="1" applyFill="1" applyAlignment="1">
      <x:alignment horizontal="center" vertical="center"/>
    </x:xf>
    <x:xf numFmtId="0" fontId="5" fillId="6" borderId="0" xfId="0" applyFont="1" applyFill="1"/>
    <x:xf numFmtId="10" fontId="1" fillId="0" borderId="0" xfId="0" applyNumberFormat="1" applyFont="1"/>
    <x:xf numFmtId="0" fontId="1" fillId="0" borderId="0" xfId="0" applyFont="1"/>
    <x:xf numFmtId="0" fontId="5" fillId="7" borderId="0" xfId="0" applyFont="1" applyFill="1"/>
    <x:xf numFmtId="165" fontId="9" fillId="0" borderId="0" xfId="0" applyNumberFormat="1" applyFont="1"/>
    <x:xf numFmtId="10" fontId="9" fillId="0" borderId="0" xfId="0" applyNumberFormat="1" applyFont="1"/>
    <x:xf numFmtId="2" fontId="3" fillId="0" borderId="0" xfId="0" applyNumberFormat="1" applyFont="1" applyAlignment="1">
      <x:alignment wrapText="1"/>
    </x:xf>
    <x:xf numFmtId="0" fontId="3" fillId="0" borderId="0" xfId="0" applyFont="1" applyAlignment="1">
      <x:alignment wrapText="1"/>
    </x:xf>
    <x:xf numFmtId="10" fontId="3" fillId="0" borderId="0" xfId="0" applyNumberFormat="1" applyFont="1" applyAlignment="1">
      <x:alignment wrapText="1"/>
    </x:xf>
    <x:xf numFmtId="0" fontId="1" fillId="0" borderId="0" xfId="0" applyFont="1" applyAlignment="1"/>
    <x:xf numFmtId="164" fontId="1" fillId="0" borderId="0" xfId="0" applyNumberFormat="1" applyFont="1" applyAlignment="1"/>
    <x:xf numFmtId="166" fontId="1" fillId="0" borderId="0" xfId="0" applyNumberFormat="1" applyFont="1" applyAlignment="1"/>
    <x:xf numFmtId="164" fontId="1" fillId="0" borderId="0" xfId="0" applyNumberFormat="1" applyFont="1" applyAlignment="1"/>
    <x:xf numFmtId="165" fontId="1" fillId="0" borderId="0" xfId="0" applyNumberFormat="1" applyFont="1" applyAlignment="1"/>
    <x:xf numFmtId="2" fontId="1" fillId="0" borderId="0" xfId="0" applyNumberFormat="1" applyFont="1" applyAlignment="1"/>
    <x:xf numFmtId="10" fontId="1" fillId="0" borderId="0" xfId="0" applyNumberFormat="1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164" fontId="3" fillId="0" borderId="0" xfId="0" applyNumberFormat="1" applyFont="1" applyFill="1" applyBorder="1" applyAlignment="1">
      <x:alignment vertical="center" wrapText="1"/>
    </x:xf>
    <x:xf numFmtId="165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164" fontId="3" fillId="0" borderId="0" xfId="0" applyNumberFormat="1" applyFont="1" applyFill="1" applyBorder="1" applyAlignment="1">
      <x:alignment wrapText="1"/>
    </x:xf>
    <x:xf numFmtId="165" fontId="3" fillId="0" borderId="0" xfId="0" applyNumberFormat="1" applyFont="1" applyFill="1" applyBorder="1" applyAlignment="1">
      <x:alignment wrapText="1"/>
    </x:xf>
    <x:xf numFmtId="2" fontId="3" fillId="0" borderId="0" xfId="0" applyNumberFormat="1" applyFont="1" applyFill="1" applyBorder="1" applyAlignment="1">
      <x:alignment vertical="center" wrapText="1"/>
    </x:xf>
    <x:xf numFmtId="10" fontId="3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165" fontId="1" fillId="0" borderId="0" xfId="0" applyNumberFormat="1" applyFont="1" applyFill="1" applyBorder="1"/>
    <x:xf numFmtId="165" fontId="5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10" fontId="1" fillId="0" borderId="0" xfId="0" applyNumberFormat="1" applyFont="1" applyFill="1" applyBorder="1"/>
    <x:xf numFmtId="0" fontId="5" fillId="7" borderId="0" xfId="0" applyNumberFormat="1" applyFont="1" applyFill="1" applyBorder="1"/>
    <x:xf numFmtId="165" fontId="9" fillId="0" borderId="0" xfId="0" applyNumberFormat="1" applyFont="1" applyFill="1" applyBorder="1"/>
    <x:xf numFmtId="10" fontId="9" fillId="0" borderId="0" xfId="0" applyNumberFormat="1" applyFont="1" applyFill="1" applyBorder="1"/>
    <x:xf numFmtId="2" fontId="3" fillId="0" borderId="0" xfId="0" applyNumberFormat="1" applyFont="1" applyFill="1" applyBorder="1" applyAlignment="1">
      <x:alignment wrapText="1"/>
    </x:xf>
    <x:xf numFmtId="10" fontId="3" fillId="0" borderId="0" xfId="0" applyNumberFormat="1" applyFont="1" applyFill="1" applyBorder="1" applyAlignment="1">
      <x:alignment wrapText="1"/>
    </x:xf>
    <x:xf numFmtId="164" fontId="1" fillId="0" borderId="0" xfId="0" applyNumberFormat="1" applyFont="1" applyFill="1" applyBorder="1"/>
    <x:xf numFmtId="166" fontId="1" fillId="0" borderId="0" xfId="0" applyNumberFormat="1" applyFont="1" applyFill="1" applyBorder="1"/>
    <x:xf numFmtId="2" fontId="1" fillId="0" borderId="0" xfId="0" applyNumberFormat="1" applyFont="1" applyFill="1" applyBorder="1"/>
    <x:xf numFmtId="165" fontId="0" fillId="0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10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b/>
        <x:color rgb="FF15803D"/>
      </x:font>
      <x:fill>
        <x:patternFill patternType="none"/>
      </x:fill>
      <x:border/>
    </x:dxf>
    <x:dxf>
      <x:font>
        <x:b/>
        <x:color rgb="FFB91C1C"/>
      </x:font>
      <x:fill>
        <x:patternFill patternType="none"/>
      </x:fill>
      <x:border/>
    </x:dxf>
    <x:dxf>
      <x:fill>
        <x:patternFill>
          <x:bgColor rgb="FFDCFCE7"/>
        </x:patternFill>
      </x:fill>
      <x:border/>
    </x:dxf>
    <x:dxf>
      <x:fill>
        <x:patternFill>
          <x:bgColor rgb="FFFEE2E2"/>
        </x:patternFill>
      </x:fill>
      <x:border/>
    </x:dxf>
    <x:dxf>
      <x:fill>
        <x:patternFill>
          <x:bgColor rgb="FFDBEAFE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6b947d3954ab4" /><Relationship Type="http://schemas.openxmlformats.org/officeDocument/2006/relationships/theme" Target="/xl/theme/theme1.xml" Id="R1ce73db77a55434f" /><Relationship Type="http://schemas.openxmlformats.org/officeDocument/2006/relationships/sharedStrings" Target="/xl/sharedStrings.xml" Id="Reed9f9a1f7eb4168" /><Relationship Type="http://schemas.openxmlformats.org/officeDocument/2006/relationships/worksheet" Target="/xl/worksheets/sheet1.xml" Id="R15fb3ac53ffa4ac3" /><Relationship Type="http://schemas.openxmlformats.org/officeDocument/2006/relationships/worksheet" Target="/xl/worksheets/sheet2.xml" Id="R4d28aec174744665" /><Relationship Type="http://schemas.openxmlformats.org/officeDocument/2006/relationships/worksheet" Target="/xl/worksheets/sheet3.xml" Id="R69c6a4156e634f07" /><Relationship Type="http://schemas.openxmlformats.org/officeDocument/2006/relationships/worksheet" Target="/xl/worksheets/sheet4.xml" Id="Rad196e05ffc842f2" /><Relationship Type="http://schemas.openxmlformats.org/officeDocument/2006/relationships/worksheet" Target="/xl/worksheets/sheet5.xml" Id="R6598524fc6d046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0253461f0946a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d4082eb750b493e" /><Relationship Type="http://schemas.openxmlformats.org/officeDocument/2006/relationships/chart" Target="/xl/drawings/charts/chart3.xml" Id="R8652a53d8ed1421f" /><Relationship Type="http://schemas.openxmlformats.org/officeDocument/2006/relationships/chart" Target="/xl/drawings/charts/chart4.xml" Id="R67ba7989907d4d1f" /><Relationship Type="http://schemas.openxmlformats.org/officeDocument/2006/relationships/chart" Target="/xl/drawings/charts/chart5.xml" Id="R0bb9024c5b054fd4" /><Relationship Type="http://schemas.openxmlformats.org/officeDocument/2006/relationships/chart" Target="/xl/drawings/charts/chart6.xml" Id="R32d653b05b5b403d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Resultado por dia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Eventos</c:v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'Balanço'!$E$9:$E$15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Investido</c:v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'Balanço'!$F$9:$F$15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Retornado</c:v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'Balanço'!$G$9:$G$15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Resultado</c:v>
          </c:tx>
          <c:spPr>
            <a:solidFill xmlns:a="http://schemas.openxmlformats.org/drawingml/2006/main">
              <a:schemeClr val="accent4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'Balanço'!$H$9:$H$15</c:f>
              <c:numCache>
                <c:formatCode>General</c:formatCode>
                <c:ptCount val="0"/>
              </c:numCache>
            </c:numRef>
          </c:val>
        </c:ser>
        <c:axId val="1978745943"/>
        <c:axId val="1350748209"/>
      </c:barChart>
      <c:catAx>
        <c:axId val="1978745943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350748209"/>
        <c:lblAlgn val="ctr"/>
        <c:lblOffset val="100"/>
        <c:noMultiLvlLbl val="0"/>
      </c:catAx>
      <c:valAx>
        <c:axId val="135074820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978745943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Evolução da banca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lineChart>
        <c:grouping val="standard"/>
        <c:ser>
          <c:idx val="0"/>
          <c:order val="0"/>
          <c:tx>
            <c:strRef>
              <c:f>Dashboard!$S$1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156082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Dashboard!$S$2:$S$20</c:f>
              <c:numCache>
                <c:formatCode>General</c:formatCode>
                <c:ptCount val="0"/>
              </c:numCache>
            </c:numRef>
          </c:val>
        </c:ser>
        <c:axId val="1398528044"/>
        <c:axId val="1396103724"/>
      </c:lineChart>
      <c:catAx>
        <c:axId val="1398528044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Data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396103724"/>
        <c:lblAlgn val="ctr"/>
        <c:lblOffset val="100"/>
        <c:noMultiLvlLbl val="0"/>
      </c:catAx>
      <c:valAx>
        <c:axId val="1396103724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Saldo (R$)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398528044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Resultado líquido por dia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strRef>
              <c:f>Dashboard!$T$1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Dashboard!$T$2:$T$20</c:f>
              <c:numCache>
                <c:formatCode>General</c:formatCode>
                <c:ptCount val="0"/>
              </c:numCache>
            </c:numRef>
          </c:val>
        </c:ser>
        <c:axId val="1840749985"/>
        <c:axId val="158594412"/>
      </c:barChart>
      <c:catAx>
        <c:axId val="1840749985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Data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58594412"/>
        <c:lblAlgn val="ctr"/>
        <c:lblOffset val="100"/>
        <c:noMultiLvlLbl val="0"/>
      </c:catAx>
      <c:valAx>
        <c:axId val="15859441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Resultado (R$)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840749985"/>
        <c:crossBetween val="between"/>
      </c:valAx>
    </c:plotArea>
    <c:plotVisOnly val="1"/>
  </c:chart>
</c:chartSpace>
</file>

<file path=xl/drawings/charts/chart4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Crescimento acumulado da banca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lineChart>
        <c:grouping val="standard"/>
        <c:ser>
          <c:idx val="0"/>
          <c:order val="0"/>
          <c:tx>
            <c:strRef>
              <c:f>Dashboard!$U$1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 cmpd="sng">
              <a:solidFill>
                <a:srgbClr val="156082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Dashboard!$U$2:$U$20</c:f>
              <c:numCache>
                <c:formatCode>General</c:formatCode>
                <c:ptCount val="0"/>
              </c:numCache>
            </c:numRef>
          </c:val>
        </c:ser>
        <c:axId val="1687081381"/>
        <c:axId val="798696956"/>
      </c:lineChart>
      <c:catAx>
        <c:axId val="168708138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Data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798696956"/>
        <c:lblAlgn val="ctr"/>
        <c:lblOffset val="100"/>
        <c:noMultiLvlLbl val="0"/>
      </c:catAx>
      <c:valAx>
        <c:axId val="798696956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Crescimento acumulado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687081381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5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Fechamento mensal da banca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strRef>
              <c:f>Dashboard!$X$1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Dashboard!$X$2:$X$3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Dashboard!$Y$1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Dashboard!$Y$2:$Y$3</c:f>
              <c:numCache>
                <c:formatCode>General</c:formatCode>
                <c:ptCount val="0"/>
              </c:numCache>
            </c:numRef>
          </c:val>
        </c:ser>
        <c:axId val="947878137"/>
        <c:axId val="571273341"/>
      </c:barChart>
      <c:catAx>
        <c:axId val="947878137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Mês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571273341"/>
        <c:lblAlgn val="ctr"/>
        <c:lblOffset val="100"/>
        <c:noMultiLvlLbl val="0"/>
      </c:catAx>
      <c:valAx>
        <c:axId val="571273341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Banca (R$)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947878137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6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Resultado por mercado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strRef>
              <c:f>Dashboard!$AD$1</c:f>
              <c:strCache>
                <c:ptCount val="1"/>
                <c:pt idx="0">
                  <c:v/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Dashboard!$AD$2:$AD$12</c:f>
              <c:numCache>
                <c:formatCode>General</c:formatCode>
                <c:ptCount val="0"/>
              </c:numCache>
            </c:numRef>
          </c:val>
        </c:ser>
        <c:axId val="654291333"/>
        <c:axId val="1491568099"/>
      </c:barChart>
      <c:catAx>
        <c:axId val="654291333"/>
        <c:scaling>
          <c:orientation val="maxMin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Mercado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491568099"/>
        <c:lblAlgn val="ctr"/>
        <c:lblOffset val="100"/>
        <c:noMultiLvlLbl val="0"/>
      </c:catAx>
      <c:valAx>
        <c:axId val="1491568099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minorGridlines>
          <c:spPr>
            <a:ln xmlns:a="http://schemas.openxmlformats.org/drawingml/2006/main"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Resultado líquido (R$)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654291333"/>
        <c:crosses val="max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5</xdr:col>
      <xdr:colOff>171450</xdr:colOff>
      <xdr:row>16</xdr:row>
      <xdr:rowOff>38100</xdr:rowOff>
    </xdr:from>
    <xdr:ext cx="5257800" cy="300037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0253461f0946a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6858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4082eb750b493e"/>
        </a:graphicData>
      </a:graphic>
    </xdr:graphicFrame>
    <xdr:clientData/>
  </xdr:oneCellAnchor>
  <xdr:oneCellAnchor>
    <xdr:from>
      <xdr:col>8</xdr:col>
      <xdr:colOff>95250</xdr:colOff>
      <xdr:row>5</xdr:row>
      <xdr:rowOff>0</xdr:rowOff>
    </xdr:from>
    <xdr:ext cx="6858000" cy="3048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52a53d8ed1421f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6858000" cy="3048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ba7989907d4d1f"/>
        </a:graphicData>
      </a:graphic>
    </xdr:graphicFrame>
    <xdr:clientData/>
  </xdr:oneCellAnchor>
  <xdr:oneCellAnchor>
    <xdr:from>
      <xdr:col>8</xdr:col>
      <xdr:colOff>95250</xdr:colOff>
      <xdr:row>21</xdr:row>
      <xdr:rowOff>0</xdr:rowOff>
    </xdr:from>
    <xdr:ext cx="6858000" cy="3048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b9024c5b054f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13811250" cy="37147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d653b05b5b403d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2" name="EventosTable" displayName="EventosTable" ref="A1:Q40">
  <x:autoFilter ref="$A$1:$Q$40">
    <x:filterColumn colId="1">
      <x:filters blank="1"/>
    </x:filterColumn>
    <x:filterColumn colId="0">
      <x:filters>
        <x:filter val="20871689142"/>
        <x:filter val="20871696812"/>
        <x:filter val="20889873282"/>
        <x:filter val="20875500112"/>
        <x:filter val="20872049182"/>
        <x:filter val="20872101562"/>
        <x:filter val="20875455702"/>
        <x:filter val="20871416992"/>
        <x:filter val="20872046382"/>
        <x:filter val="20889883772"/>
        <x:filter val="20870304022"/>
        <x:filter val="20870299352"/>
        <x:filter val="20870293552"/>
        <x:filter val="20872049822"/>
        <x:filter val="20871403402"/>
        <x:filter val="20871407602"/>
        <x:filter val="20890019132"/>
        <x:filter val="20890022582"/>
        <x:filter val="20889876562"/>
        <x:filter val="20889894192"/>
        <x:filter val="20872052002"/>
        <x:filter val="20890031002"/>
        <x:filter val="20878142702"/>
        <x:filter val="20875449952"/>
        <x:filter val="20891111252"/>
        <x:filter val="20872054962"/>
        <x:filter val="20889888112"/>
        <x:filter val="20870162212"/>
        <x:filter val="20870289052"/>
      </x:filters>
    </x:filterColumn>
  </x:autoFilter>
  <x:tableColumns count="17">
    <x:tableColumn id="1" name="ID"/>
    <x:tableColumn id="2" name="Data/Hora"/>
    <x:tableColumn id="3" name="Tipo de Evento"/>
    <x:tableColumn id="4" name="Esporte"/>
    <x:tableColumn id="5" name="Evento"/>
    <x:tableColumn id="6" name="Mercado"/>
    <x:tableColumn id="7" name="Seleção"/>
    <x:tableColumn id="8" name="Tipo de Entrada"/>
    <x:tableColumn id="9" name="Stake"/>
    <x:tableColumn id="10" name="Odd"/>
    <x:tableColumn id="11" name="Status"/>
    <x:tableColumn id="12" name="Placar Final"/>
    <x:tableColumn id="13" name="Retorno"/>
    <x:tableColumn id="14" name="Lucro/Prejuízo"/>
    <x:tableColumn id="15" name="ROI Evento"/>
    <x:tableColumn id="16" name="SuperOdds"/>
    <x:tableColumn id="17" name="Observações"/>
  </x:tableColumns>
  <x:tableStyleInfo name="Eventos-style" showFirstColumn="1" showLastColumn="1" showRowStripes="1" showColumnStripes="0"/>
</x:table>
</file>

<file path=xl/tables/table2.xml><?xml version="1.0" encoding="utf-8"?>
<x:table xmlns:x="http://schemas.openxmlformats.org/spreadsheetml/2006/main" id="4" name="Table_2" displayName="Table_2" ref="A41:Q41" headerRowCount="0">
  <x:tableColumns count="1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</x:tableColumns>
  <x:tableStyleInfo name="Eventos-style 2" showFirstColumn="1" showLastColumn="1" showRowStripes="1" showColumnStripes="0"/>
</x:table>
</file>

<file path=xl/tables/table3.xml><?xml version="1.0" encoding="utf-8"?>
<x:table xmlns:x="http://schemas.openxmlformats.org/spreadsheetml/2006/main" id="1" name="MovimentacoesTable" displayName="MovimentacoesTable" ref="A1:F3">
  <x:tableColumns count="6">
    <x:tableColumn id="1" name="ID"/>
    <x:tableColumn id="2" name="Data/Hora"/>
    <x:tableColumn id="3" name="Tipo"/>
    <x:tableColumn id="4" name="Valor"/>
    <x:tableColumn id="5" name="Impacto no Caixa"/>
    <x:tableColumn id="6" name="Observação"/>
  </x:tableColumns>
  <x:tableStyleInfo name="Movimentações-style" showFirstColumn="1" showLastColumn="1" showRowStripes="1" showColumnStripes="0"/>
</x:table>
</file>

<file path=xl/tables/table4.xml><?xml version="1.0" encoding="utf-8"?>
<x:table xmlns:x="http://schemas.openxmlformats.org/spreadsheetml/2006/main" id="3" name="Table_1" displayName="Table_1" ref="A4:F4" headerRowCount="0">
  <x:tableColumns count="6">
    <x:tableColumn id="1" name="Column1"/>
    <x:tableColumn id="2" name="Column2"/>
    <x:tableColumn id="3" name="Column3"/>
    <x:tableColumn id="4" name="Column4"/>
    <x:tableColumn id="5" name="Column5"/>
    <x:tableColumn id="6" name="Column6"/>
  </x:tableColumns>
  <x:tableStyleInfo name="Movimentações-style 2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24f9689e784c99" /><Relationship Type="http://schemas.openxmlformats.org/officeDocument/2006/relationships/table" Target="/xl/tables/table2.xml" Id="R7d7a48f570ab47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d301265465854965" /><Relationship Type="http://schemas.openxmlformats.org/officeDocument/2006/relationships/table" Target="/xl/tables/table4.xml" Id="R3ccaa87e3df740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4410e69fe1645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4bd8f7802e74a98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3" width="18" customWidth="1"/>
    <x:col min="4" max="4" width="11" customWidth="1"/>
    <x:col min="5" max="5" width="36" customWidth="1"/>
    <x:col min="6" max="6" width="18" customWidth="1"/>
    <x:col min="7" max="7" width="24" customWidth="1"/>
    <x:col min="8" max="8" width="18" customWidth="1"/>
    <x:col min="9" max="9" width="7.25" customWidth="1"/>
    <x:col min="10" max="10" width="6.25" customWidth="1"/>
    <x:col min="11" max="11" width="7.75" customWidth="1"/>
    <x:col min="12" max="12" width="11.75" customWidth="1"/>
    <x:col min="13" max="13" width="9.25" customWidth="1"/>
    <x:col min="14" max="14" width="14.130000114440918" customWidth="1"/>
    <x:col min="15" max="15" width="11.380000114440918" customWidth="1"/>
    <x:col min="16" max="16" width="12" customWidth="1"/>
    <x:col min="17" max="17" width="34" customWidth="1"/>
    <x:col min="18" max="19" width="17" customWidth="1"/>
    <x:col min="20" max="26" width="8.630000114440918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1" t="s">
        <x:v>17</x:v>
      </x:c>
    </x:row>
    <x:row r="2" hidden="1">
      <x:c r="A2" s="4">
        <x:v>2.0870162212E10</x:v>
      </x:c>
      <x:c r="B2" s="5">
        <x:v>46253.85208333333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  <x:c r="H2" s="4" t="s">
        <x:v>23</x:v>
      </x:c>
      <x:c r="I2" s="6">
        <x:v>15.0</x:v>
      </x:c>
      <x:c r="J2" s="11">
        <x:v>1.19</x:v>
      </x:c>
      <x:c r="K2" s="4" t="s">
        <x:v>24</x:v>
      </x:c>
      <x:c r="L2" s="4" t="s">
        <x:v>25</x:v>
      </x:c>
      <x:c r="M2" s="6">
        <x:v>17.85</x:v>
      </x:c>
      <x:c r="N2" s="6">
        <x:v>2.85</x:v>
      </x:c>
      <x:c r="O2" s="12">
        <x:v>0.19</x:v>
      </x:c>
      <x:c r="P2" s="4" t="s">
        <x:v>26</x:v>
      </x:c>
      <x:c r="Q2" s="4"/>
    </x:row>
    <x:row r="3" hidden="1">
      <x:c r="A3" s="4">
        <x:v>2.0870293552E10</x:v>
      </x:c>
      <x:c r="B3" s="5">
        <x:v>46253.85972222222</x:v>
      </x:c>
      <x:c r="C3" s="4" t="s">
        <x:v>18</x:v>
      </x:c>
      <x:c r="D3" s="4" t="s">
        <x:v>19</x:v>
      </x:c>
      <x:c r="E3" s="4" t="s">
        <x:v>27</x:v>
      </x:c>
      <x:c r="F3" s="4" t="s">
        <x:v>21</x:v>
      </x:c>
      <x:c r="G3" s="4" t="s">
        <x:v>28</x:v>
      </x:c>
      <x:c r="H3" s="4" t="s">
        <x:v>23</x:v>
      </x:c>
      <x:c r="I3" s="6">
        <x:v>20.0</x:v>
      </x:c>
      <x:c r="J3" s="11">
        <x:v>1.37</x:v>
      </x:c>
      <x:c r="K3" s="4" t="s">
        <x:v>24</x:v>
      </x:c>
      <x:c r="L3" s="4" t="s">
        <x:v>29</x:v>
      </x:c>
      <x:c r="M3" s="6">
        <x:v>27.4</x:v>
      </x:c>
      <x:c r="N3" s="6">
        <x:v>7.4</x:v>
      </x:c>
      <x:c r="O3" s="12">
        <x:v>0.37</x:v>
      </x:c>
      <x:c r="P3" s="4" t="s">
        <x:v>26</x:v>
      </x:c>
      <x:c r="Q3" s="4"/>
    </x:row>
    <x:row r="4" hidden="1">
      <x:c r="A4" s="4">
        <x:v>2.0870289052E10</x:v>
      </x:c>
      <x:c r="B4" s="5">
        <x:v>46253.85972222222</x:v>
      </x:c>
      <x:c r="C4" s="4" t="s">
        <x:v>18</x:v>
      </x:c>
      <x:c r="D4" s="4" t="s">
        <x:v>19</x:v>
      </x:c>
      <x:c r="E4" s="4" t="s">
        <x:v>30</x:v>
      </x:c>
      <x:c r="F4" s="4" t="s">
        <x:v>21</x:v>
      </x:c>
      <x:c r="G4" s="4" t="s">
        <x:v>31</x:v>
      </x:c>
      <x:c r="H4" s="4" t="s">
        <x:v>23</x:v>
      </x:c>
      <x:c r="I4" s="6">
        <x:v>20.0</x:v>
      </x:c>
      <x:c r="J4" s="11">
        <x:v>1.55</x:v>
      </x:c>
      <x:c r="K4" s="4" t="s">
        <x:v>24</x:v>
      </x:c>
      <x:c r="L4" s="4" t="s">
        <x:v>32</x:v>
      </x:c>
      <x:c r="M4" s="6">
        <x:v>31.0</x:v>
      </x:c>
      <x:c r="N4" s="6">
        <x:v>11.0</x:v>
      </x:c>
      <x:c r="O4" s="12">
        <x:v>0.55</x:v>
      </x:c>
      <x:c r="P4" s="4" t="s">
        <x:v>26</x:v>
      </x:c>
      <x:c r="Q4" s="4"/>
    </x:row>
    <x:row r="5" hidden="1">
      <x:c r="A5" s="4">
        <x:v>2.0870299352E10</x:v>
      </x:c>
      <x:c r="B5" s="5">
        <x:v>46253.86041666667</x:v>
      </x:c>
      <x:c r="C5" s="4" t="s">
        <x:v>18</x:v>
      </x:c>
      <x:c r="D5" s="4" t="s">
        <x:v>19</x:v>
      </x:c>
      <x:c r="E5" s="4" t="s">
        <x:v>33</x:v>
      </x:c>
      <x:c r="F5" s="4" t="s">
        <x:v>21</x:v>
      </x:c>
      <x:c r="G5" s="4" t="s">
        <x:v>34</x:v>
      </x:c>
      <x:c r="H5" s="4" t="s">
        <x:v>34</x:v>
      </x:c>
      <x:c r="I5" s="6">
        <x:v>20.0</x:v>
      </x:c>
      <x:c r="J5" s="11">
        <x:v>1.39</x:v>
      </x:c>
      <x:c r="K5" s="4" t="s">
        <x:v>24</x:v>
      </x:c>
      <x:c r="L5" s="4" t="s">
        <x:v>35</x:v>
      </x:c>
      <x:c r="M5" s="6">
        <x:v>27.8</x:v>
      </x:c>
      <x:c r="N5" s="6">
        <x:v>7.8</x:v>
      </x:c>
      <x:c r="O5" s="12">
        <x:v>0.39</x:v>
      </x:c>
      <x:c r="P5" s="4" t="s">
        <x:v>26</x:v>
      </x:c>
      <x:c r="Q5" s="4"/>
    </x:row>
    <x:row r="6" hidden="1">
      <x:c r="A6" s="4">
        <x:v>2.0870304022E10</x:v>
      </x:c>
      <x:c r="B6" s="5">
        <x:v>46253.86111111111</x:v>
      </x:c>
      <x:c r="C6" s="4" t="s">
        <x:v>18</x:v>
      </x:c>
      <x:c r="D6" s="4" t="s">
        <x:v>19</x:v>
      </x:c>
      <x:c r="E6" s="4" t="s">
        <x:v>36</x:v>
      </x:c>
      <x:c r="F6" s="4" t="s">
        <x:v>21</x:v>
      </x:c>
      <x:c r="G6" s="4" t="s">
        <x:v>34</x:v>
      </x:c>
      <x:c r="H6" s="4" t="s">
        <x:v>34</x:v>
      </x:c>
      <x:c r="I6" s="19">
        <x:v>10.0</x:v>
      </x:c>
      <x:c r="J6" s="11">
        <x:v>2.25</x:v>
      </x:c>
      <x:c r="K6" s="4" t="s">
        <x:v>37</x:v>
      </x:c>
      <x:c r="L6" s="4" t="s">
        <x:v>38</x:v>
      </x:c>
      <x:c r="M6" s="6">
        <x:v>0.0</x:v>
      </x:c>
      <x:c r="N6" s="19">
        <x:v>-10.0</x:v>
      </x:c>
      <x:c r="O6" s="12">
        <x:v>-1.0</x:v>
      </x:c>
      <x:c r="P6" s="4" t="s">
        <x:v>26</x:v>
      </x:c>
      <x:c r="Q6" s="4"/>
    </x:row>
    <x:row r="7" hidden="1">
      <x:c r="A7" s="4">
        <x:v>2.0871403402E10</x:v>
      </x:c>
      <x:c r="B7" s="5">
        <x:v>46253.90694444445</x:v>
      </x:c>
      <x:c r="C7" s="4" t="s">
        <x:v>18</x:v>
      </x:c>
      <x:c r="D7" s="4" t="s">
        <x:v>19</x:v>
      </x:c>
      <x:c r="E7" s="4" t="s">
        <x:v>39</x:v>
      </x:c>
      <x:c r="F7" s="4" t="s">
        <x:v>21</x:v>
      </x:c>
      <x:c r="G7" s="4" t="s">
        <x:v>40</x:v>
      </x:c>
      <x:c r="H7" s="4" t="s">
        <x:v>23</x:v>
      </x:c>
      <x:c r="I7" s="19">
        <x:v>5.0</x:v>
      </x:c>
      <x:c r="J7" s="11">
        <x:v>1.62</x:v>
      </x:c>
      <x:c r="K7" s="4" t="s">
        <x:v>37</x:v>
      </x:c>
      <x:c r="L7" s="4" t="s">
        <x:v>41</x:v>
      </x:c>
      <x:c r="M7" s="6">
        <x:v>0.0</x:v>
      </x:c>
      <x:c r="N7" s="19">
        <x:v>-5.0</x:v>
      </x:c>
      <x:c r="O7" s="12">
        <x:v>-1.0</x:v>
      </x:c>
      <x:c r="P7" s="4" t="s">
        <x:v>26</x:v>
      </x:c>
      <x:c r="Q7" s="4"/>
    </x:row>
    <x:row r="8" hidden="1">
      <x:c r="A8" s="4">
        <x:v>2.0871407602E10</x:v>
      </x:c>
      <x:c r="B8" s="5">
        <x:v>46253.907638888886</x:v>
      </x:c>
      <x:c r="C8" s="4" t="s">
        <x:v>18</x:v>
      </x:c>
      <x:c r="D8" s="4" t="s">
        <x:v>19</x:v>
      </x:c>
      <x:c r="E8" s="4" t="s">
        <x:v>42</x:v>
      </x:c>
      <x:c r="F8" s="4" t="s">
        <x:v>21</x:v>
      </x:c>
      <x:c r="G8" s="4" t="s">
        <x:v>43</x:v>
      </x:c>
      <x:c r="H8" s="4" t="s">
        <x:v>23</x:v>
      </x:c>
      <x:c r="I8" s="19">
        <x:v>5.0</x:v>
      </x:c>
      <x:c r="J8" s="11">
        <x:v>1.38</x:v>
      </x:c>
      <x:c r="K8" s="4" t="s">
        <x:v>37</x:v>
      </x:c>
      <x:c r="L8" s="4" t="s">
        <x:v>44</x:v>
      </x:c>
      <x:c r="M8" s="6">
        <x:v>0.0</x:v>
      </x:c>
      <x:c r="N8" s="19">
        <x:v>-5.0</x:v>
      </x:c>
      <x:c r="O8" s="12">
        <x:v>-1.0</x:v>
      </x:c>
      <x:c r="P8" s="4" t="s">
        <x:v>26</x:v>
      </x:c>
      <x:c r="Q8" s="4"/>
    </x:row>
    <x:row r="9" hidden="1">
      <x:c r="A9" s="4">
        <x:v>2.0871416992E10</x:v>
      </x:c>
      <x:c r="B9" s="5">
        <x:v>46253.90833333333</x:v>
      </x:c>
      <x:c r="C9" s="4" t="s">
        <x:v>18</x:v>
      </x:c>
      <x:c r="D9" s="4" t="s">
        <x:v>19</x:v>
      </x:c>
      <x:c r="E9" s="4" t="s">
        <x:v>45</x:v>
      </x:c>
      <x:c r="F9" s="4" t="s">
        <x:v>21</x:v>
      </x:c>
      <x:c r="G9" s="4" t="s">
        <x:v>34</x:v>
      </x:c>
      <x:c r="H9" s="4" t="s">
        <x:v>34</x:v>
      </x:c>
      <x:c r="I9" s="19">
        <x:v>5.0</x:v>
      </x:c>
      <x:c r="J9" s="11">
        <x:v>1.7</x:v>
      </x:c>
      <x:c r="K9" s="4" t="s">
        <x:v>37</x:v>
      </x:c>
      <x:c r="L9" s="4" t="s">
        <x:v>46</x:v>
      </x:c>
      <x:c r="M9" s="6">
        <x:v>0.0</x:v>
      </x:c>
      <x:c r="N9" s="19">
        <x:v>-5.0</x:v>
      </x:c>
      <x:c r="O9" s="12">
        <x:v>-1.0</x:v>
      </x:c>
      <x:c r="P9" s="4" t="s">
        <x:v>26</x:v>
      </x:c>
      <x:c r="Q9" s="4"/>
    </x:row>
    <x:row r="10" hidden="1">
      <x:c r="A10" s="4">
        <x:v>2.0871689142E10</x:v>
      </x:c>
      <x:c r="B10" s="5">
        <x:v>46253.93472222222</x:v>
      </x:c>
      <x:c r="C10" s="4" t="s">
        <x:v>18</x:v>
      </x:c>
      <x:c r="D10" s="4" t="s">
        <x:v>19</x:v>
      </x:c>
      <x:c r="E10" s="4" t="s">
        <x:v>47</x:v>
      </x:c>
      <x:c r="F10" s="4" t="s">
        <x:v>21</x:v>
      </x:c>
      <x:c r="G10" s="4" t="s">
        <x:v>34</x:v>
      </x:c>
      <x:c r="H10" s="4" t="s">
        <x:v>34</x:v>
      </x:c>
      <x:c r="I10" s="19">
        <x:v>5.0</x:v>
      </x:c>
      <x:c r="J10" s="11">
        <x:v>1.38</x:v>
      </x:c>
      <x:c r="K10" s="4" t="s">
        <x:v>37</x:v>
      </x:c>
      <x:c r="L10" s="4" t="s">
        <x:v>25</x:v>
      </x:c>
      <x:c r="M10" s="6">
        <x:v>0.0</x:v>
      </x:c>
      <x:c r="N10" s="19">
        <x:v>-5.0</x:v>
      </x:c>
      <x:c r="O10" s="12">
        <x:v>-1.0</x:v>
      </x:c>
      <x:c r="P10" s="4" t="s">
        <x:v>26</x:v>
      </x:c>
      <x:c r="Q10" s="4"/>
    </x:row>
    <x:row r="11" hidden="1">
      <x:c r="A11" s="4">
        <x:v>2.0871696812E10</x:v>
      </x:c>
      <x:c r="B11" s="5">
        <x:v>46253.93541666667</x:v>
      </x:c>
      <x:c r="C11" s="4" t="s">
        <x:v>18</x:v>
      </x:c>
      <x:c r="D11" s="4" t="s">
        <x:v>19</x:v>
      </x:c>
      <x:c r="E11" s="4" t="s">
        <x:v>48</x:v>
      </x:c>
      <x:c r="F11" s="4" t="s">
        <x:v>21</x:v>
      </x:c>
      <x:c r="G11" s="4" t="s">
        <x:v>34</x:v>
      </x:c>
      <x:c r="H11" s="4" t="s">
        <x:v>34</x:v>
      </x:c>
      <x:c r="I11" s="19">
        <x:v>5.0</x:v>
      </x:c>
      <x:c r="J11" s="11">
        <x:v>1.33</x:v>
      </x:c>
      <x:c r="K11" s="4" t="s">
        <x:v>37</x:v>
      </x:c>
      <x:c r="L11" s="4" t="s">
        <x:v>38</x:v>
      </x:c>
      <x:c r="M11" s="6">
        <x:v>0.0</x:v>
      </x:c>
      <x:c r="N11" s="19">
        <x:v>-5.0</x:v>
      </x:c>
      <x:c r="O11" s="12">
        <x:v>-1.0</x:v>
      </x:c>
      <x:c r="P11" s="4" t="s">
        <x:v>26</x:v>
      </x:c>
      <x:c r="Q11" s="4"/>
    </x:row>
    <x:row r="12" hidden="1">
      <x:c r="A12" s="4">
        <x:v>2.0872046382E10</x:v>
      </x:c>
      <x:c r="B12" s="5">
        <x:v>46253.96875</x:v>
      </x:c>
      <x:c r="C12" s="4" t="s">
        <x:v>18</x:v>
      </x:c>
      <x:c r="D12" s="4" t="s">
        <x:v>19</x:v>
      </x:c>
      <x:c r="E12" s="4" t="s">
        <x:v>49</x:v>
      </x:c>
      <x:c r="F12" s="4" t="s">
        <x:v>21</x:v>
      </x:c>
      <x:c r="G12" s="4" t="s">
        <x:v>34</x:v>
      </x:c>
      <x:c r="H12" s="4" t="s">
        <x:v>34</x:v>
      </x:c>
      <x:c r="I12" s="6">
        <x:v>10.0</x:v>
      </x:c>
      <x:c r="J12" s="11">
        <x:v>1.19</x:v>
      </x:c>
      <x:c r="K12" s="4" t="s">
        <x:v>24</x:v>
      </x:c>
      <x:c r="L12" s="4" t="s">
        <x:v>44</x:v>
      </x:c>
      <x:c r="M12" s="6">
        <x:v>11.9</x:v>
      </x:c>
      <x:c r="N12" s="6">
        <x:v>1.9</x:v>
      </x:c>
      <x:c r="O12" s="12">
        <x:v>0.19</x:v>
      </x:c>
      <x:c r="P12" s="4" t="s">
        <x:v>26</x:v>
      </x:c>
      <x:c r="Q12" s="4" t="s">
        <x:v>50</x:v>
      </x:c>
    </x:row>
    <x:row r="13" hidden="1">
      <x:c r="A13" s="4">
        <x:v>2.0872049822E10</x:v>
      </x:c>
      <x:c r="B13" s="5">
        <x:v>46253.96944444445</x:v>
      </x:c>
      <x:c r="C13" s="4" t="s">
        <x:v>18</x:v>
      </x:c>
      <x:c r="D13" s="4" t="s">
        <x:v>19</x:v>
      </x:c>
      <x:c r="E13" s="4" t="s">
        <x:v>51</x:v>
      </x:c>
      <x:c r="F13" s="4" t="s">
        <x:v>21</x:v>
      </x:c>
      <x:c r="G13" s="4" t="s">
        <x:v>34</x:v>
      </x:c>
      <x:c r="H13" s="4" t="s">
        <x:v>34</x:v>
      </x:c>
      <x:c r="I13" s="6">
        <x:v>10.0</x:v>
      </x:c>
      <x:c r="J13" s="11">
        <x:v>1.25</x:v>
      </x:c>
      <x:c r="K13" s="4" t="s">
        <x:v>24</x:v>
      </x:c>
      <x:c r="L13" s="4" t="s">
        <x:v>35</x:v>
      </x:c>
      <x:c r="M13" s="6">
        <x:v>12.5</x:v>
      </x:c>
      <x:c r="N13" s="6">
        <x:v>2.5</x:v>
      </x:c>
      <x:c r="O13" s="12">
        <x:v>0.25</x:v>
      </x:c>
      <x:c r="P13" s="4" t="s">
        <x:v>26</x:v>
      </x:c>
      <x:c r="Q13" s="4"/>
    </x:row>
    <x:row r="14" hidden="1">
      <x:c r="A14" s="4">
        <x:v>2.0872049182E10</x:v>
      </x:c>
      <x:c r="B14" s="5">
        <x:v>46253.96944444445</x:v>
      </x:c>
      <x:c r="C14" s="4" t="s">
        <x:v>18</x:v>
      </x:c>
      <x:c r="D14" s="4" t="s">
        <x:v>19</x:v>
      </x:c>
      <x:c r="E14" s="4" t="s">
        <x:v>52</x:v>
      </x:c>
      <x:c r="F14" s="4" t="s">
        <x:v>21</x:v>
      </x:c>
      <x:c r="G14" s="4" t="s">
        <x:v>53</x:v>
      </x:c>
      <x:c r="H14" s="4" t="s">
        <x:v>23</x:v>
      </x:c>
      <x:c r="I14" s="6">
        <x:v>10.0</x:v>
      </x:c>
      <x:c r="J14" s="11">
        <x:v>1.1</x:v>
      </x:c>
      <x:c r="K14" s="4" t="s">
        <x:v>24</x:v>
      </x:c>
      <x:c r="L14" s="4" t="s">
        <x:v>38</x:v>
      </x:c>
      <x:c r="M14" s="6">
        <x:v>11.0</x:v>
      </x:c>
      <x:c r="N14" s="6">
        <x:v>1.0</x:v>
      </x:c>
      <x:c r="O14" s="12">
        <x:v>0.1</x:v>
      </x:c>
      <x:c r="P14" s="4" t="s">
        <x:v>26</x:v>
      </x:c>
      <x:c r="Q14" s="4"/>
    </x:row>
    <x:row r="15" hidden="1">
      <x:c r="A15" s="4">
        <x:v>2.0872054962E10</x:v>
      </x:c>
      <x:c r="B15" s="5">
        <x:v>46253.970138888886</x:v>
      </x:c>
      <x:c r="C15" s="4" t="s">
        <x:v>18</x:v>
      </x:c>
      <x:c r="D15" s="4" t="s">
        <x:v>19</x:v>
      </x:c>
      <x:c r="E15" s="4" t="s">
        <x:v>49</x:v>
      </x:c>
      <x:c r="F15" s="4" t="s">
        <x:v>21</x:v>
      </x:c>
      <x:c r="G15" s="4" t="s">
        <x:v>34</x:v>
      </x:c>
      <x:c r="H15" s="4" t="s">
        <x:v>34</x:v>
      </x:c>
      <x:c r="I15" s="6">
        <x:v>10.0</x:v>
      </x:c>
      <x:c r="J15" s="11">
        <x:v>1.12</x:v>
      </x:c>
      <x:c r="K15" s="4" t="s">
        <x:v>24</x:v>
      </x:c>
      <x:c r="L15" s="4" t="s">
        <x:v>44</x:v>
      </x:c>
      <x:c r="M15" s="6">
        <x:v>11.2</x:v>
      </x:c>
      <x:c r="N15" s="6">
        <x:v>1.2</x:v>
      </x:c>
      <x:c r="O15" s="12">
        <x:v>0.12</x:v>
      </x:c>
      <x:c r="P15" s="4" t="s">
        <x:v>26</x:v>
      </x:c>
      <x:c r="Q15" s="4"/>
    </x:row>
    <x:row r="16" hidden="1">
      <x:c r="A16" s="4">
        <x:v>2.0872052002E10</x:v>
      </x:c>
      <x:c r="B16" s="5">
        <x:v>46253.970138888886</x:v>
      </x:c>
      <x:c r="C16" s="4" t="s">
        <x:v>18</x:v>
      </x:c>
      <x:c r="D16" s="4" t="s">
        <x:v>19</x:v>
      </x:c>
      <x:c r="E16" s="4" t="s">
        <x:v>54</x:v>
      </x:c>
      <x:c r="F16" s="4" t="s">
        <x:v>21</x:v>
      </x:c>
      <x:c r="G16" s="4" t="s">
        <x:v>55</x:v>
      </x:c>
      <x:c r="H16" s="4" t="s">
        <x:v>23</x:v>
      </x:c>
      <x:c r="I16" s="6">
        <x:v>10.0</x:v>
      </x:c>
      <x:c r="J16" s="11">
        <x:v>1.09</x:v>
      </x:c>
      <x:c r="K16" s="4" t="s">
        <x:v>37</x:v>
      </x:c>
      <x:c r="L16" s="4" t="s">
        <x:v>44</x:v>
      </x:c>
      <x:c r="M16" s="6">
        <x:v>0.0</x:v>
      </x:c>
      <x:c r="N16" s="6">
        <x:v>-10.0</x:v>
      </x:c>
      <x:c r="O16" s="12">
        <x:v>-1.0</x:v>
      </x:c>
      <x:c r="P16" s="4" t="s">
        <x:v>26</x:v>
      </x:c>
      <x:c r="Q16" s="4"/>
    </x:row>
    <x:row r="17" hidden="1">
      <x:c r="A17" s="4">
        <x:v>2.0872101562E10</x:v>
      </x:c>
      <x:c r="B17" s="5">
        <x:v>46253.97777777778</x:v>
      </x:c>
      <x:c r="C17" s="4" t="s">
        <x:v>18</x:v>
      </x:c>
      <x:c r="D17" s="4" t="s">
        <x:v>19</x:v>
      </x:c>
      <x:c r="E17" s="4" t="s">
        <x:v>56</x:v>
      </x:c>
      <x:c r="F17" s="4" t="s">
        <x:v>21</x:v>
      </x:c>
      <x:c r="G17" s="4" t="s">
        <x:v>57</x:v>
      </x:c>
      <x:c r="H17" s="4" t="s">
        <x:v>23</x:v>
      </x:c>
      <x:c r="I17" s="6">
        <x:v>5.0</x:v>
      </x:c>
      <x:c r="J17" s="11">
        <x:v>1.2</x:v>
      </x:c>
      <x:c r="K17" s="4" t="s">
        <x:v>24</x:v>
      </x:c>
      <x:c r="L17" s="4" t="s">
        <x:v>58</x:v>
      </x:c>
      <x:c r="M17" s="6">
        <x:v>6.0</x:v>
      </x:c>
      <x:c r="N17" s="6">
        <x:v>1.0</x:v>
      </x:c>
      <x:c r="O17" s="12">
        <x:v>0.2</x:v>
      </x:c>
      <x:c r="P17" s="4" t="s">
        <x:v>26</x:v>
      </x:c>
      <x:c r="Q17" s="4"/>
    </x:row>
    <x:row r="18" hidden="1">
      <x:c r="A18" s="4">
        <x:v>2.0875449952E10</x:v>
      </x:c>
      <x:c r="B18" s="5">
        <x:v>46254.67569444444</x:v>
      </x:c>
      <x:c r="C18" s="4" t="s">
        <x:v>18</x:v>
      </x:c>
      <x:c r="D18" s="4" t="s">
        <x:v>19</x:v>
      </x:c>
      <x:c r="E18" s="4" t="s">
        <x:v>59</x:v>
      </x:c>
      <x:c r="F18" s="4" t="s">
        <x:v>21</x:v>
      </x:c>
      <x:c r="G18" s="4" t="s">
        <x:v>60</x:v>
      </x:c>
      <x:c r="H18" s="4" t="s">
        <x:v>23</x:v>
      </x:c>
      <x:c r="I18" s="19">
        <x:v>10.0</x:v>
      </x:c>
      <x:c r="J18" s="11">
        <x:v>1.62</x:v>
      </x:c>
      <x:c r="K18" s="4" t="s">
        <x:v>37</x:v>
      </x:c>
      <x:c r="L18" s="4" t="s">
        <x:v>35</x:v>
      </x:c>
      <x:c r="M18" s="6">
        <x:v>0.0</x:v>
      </x:c>
      <x:c r="N18" s="19">
        <x:v>-10.0</x:v>
      </x:c>
      <x:c r="O18" s="12">
        <x:v>-1.0</x:v>
      </x:c>
      <x:c r="P18" s="4" t="s">
        <x:v>61</x:v>
      </x:c>
      <x:c r="Q18" s="4"/>
    </x:row>
    <x:row r="19" hidden="1">
      <x:c r="A19" s="4">
        <x:v>2.0875455702E10</x:v>
      </x:c>
      <x:c r="B19" s="5">
        <x:v>46254.67638888889</x:v>
      </x:c>
      <x:c r="C19" s="4" t="s">
        <x:v>18</x:v>
      </x:c>
      <x:c r="D19" s="4" t="s">
        <x:v>19</x:v>
      </x:c>
      <x:c r="E19" s="4" t="s">
        <x:v>62</x:v>
      </x:c>
      <x:c r="F19" s="4" t="s">
        <x:v>21</x:v>
      </x:c>
      <x:c r="G19" s="4" t="s">
        <x:v>63</x:v>
      </x:c>
      <x:c r="H19" s="4" t="s">
        <x:v>23</x:v>
      </x:c>
      <x:c r="I19" s="6">
        <x:v>10.0</x:v>
      </x:c>
      <x:c r="J19" s="11">
        <x:v>1.65</x:v>
      </x:c>
      <x:c r="K19" s="4" t="s">
        <x:v>24</x:v>
      </x:c>
      <x:c r="L19" s="4" t="s">
        <x:v>64</x:v>
      </x:c>
      <x:c r="M19" s="6">
        <x:v>16.5</x:v>
      </x:c>
      <x:c r="N19" s="6">
        <x:v>6.5</x:v>
      </x:c>
      <x:c r="O19" s="12">
        <x:v>0.65</x:v>
      </x:c>
      <x:c r="P19" s="4" t="s">
        <x:v>61</x:v>
      </x:c>
      <x:c r="Q19" s="4"/>
    </x:row>
    <x:row r="20" hidden="1">
      <x:c r="A20" s="4">
        <x:v>2.0875500112E10</x:v>
      </x:c>
      <x:c r="B20" s="5">
        <x:v>46254.68125</x:v>
      </x:c>
      <x:c r="C20" s="4" t="s">
        <x:v>18</x:v>
      </x:c>
      <x:c r="D20" s="4" t="s">
        <x:v>19</x:v>
      </x:c>
      <x:c r="E20" s="4" t="s">
        <x:v>65</x:v>
      </x:c>
      <x:c r="F20" s="4" t="s">
        <x:v>21</x:v>
      </x:c>
      <x:c r="G20" s="4" t="s">
        <x:v>34</x:v>
      </x:c>
      <x:c r="H20" s="4" t="s">
        <x:v>34</x:v>
      </x:c>
      <x:c r="I20" s="6">
        <x:v>10.0</x:v>
      </x:c>
      <x:c r="J20" s="11">
        <x:v>3.25</x:v>
      </x:c>
      <x:c r="K20" s="4" t="s">
        <x:v>24</x:v>
      </x:c>
      <x:c r="L20" s="4" t="s">
        <x:v>35</x:v>
      </x:c>
      <x:c r="M20" s="6">
        <x:v>32.5</x:v>
      </x:c>
      <x:c r="N20" s="6">
        <x:v>22.5</x:v>
      </x:c>
      <x:c r="O20" s="12">
        <x:v>2.25</x:v>
      </x:c>
      <x:c r="P20" s="4" t="s">
        <x:v>61</x:v>
      </x:c>
      <x:c r="Q20" s="4"/>
    </x:row>
    <x:row r="21" ht="15.75" hidden="1" customHeight="1">
      <x:c r="A21" s="4">
        <x:v>2.0878142702E10</x:v>
      </x:c>
      <x:c r="B21" s="5">
        <x:v>46254.88263888889</x:v>
      </x:c>
      <x:c r="C21" s="4" t="s">
        <x:v>18</x:v>
      </x:c>
      <x:c r="D21" s="4" t="s">
        <x:v>19</x:v>
      </x:c>
      <x:c r="E21" s="4" t="s">
        <x:v>66</x:v>
      </x:c>
      <x:c r="F21" s="4" t="s">
        <x:v>21</x:v>
      </x:c>
      <x:c r="G21" s="4" t="s">
        <x:v>67</x:v>
      </x:c>
      <x:c r="H21" s="4" t="s">
        <x:v>23</x:v>
      </x:c>
      <x:c r="I21" s="6">
        <x:v>20.0</x:v>
      </x:c>
      <x:c r="J21" s="11">
        <x:v>2.32</x:v>
      </x:c>
      <x:c r="K21" s="4" t="s">
        <x:v>24</x:v>
      </x:c>
      <x:c r="L21" s="4" t="s">
        <x:v>29</x:v>
      </x:c>
      <x:c r="M21" s="6">
        <x:v>46.4</x:v>
      </x:c>
      <x:c r="N21" s="6">
        <x:v>26.4</x:v>
      </x:c>
      <x:c r="O21" s="12">
        <x:v>1.32</x:v>
      </x:c>
      <x:c r="P21" s="4" t="s">
        <x:v>61</x:v>
      </x:c>
      <x:c r="Q21" s="4"/>
    </x:row>
    <x:row r="22" ht="15.75" hidden="1" customHeight="1">
      <x:c r="A22" s="4"/>
      <x:c r="B22" s="5"/>
      <x:c r="C22" s="4"/>
      <x:c r="D22" s="4"/>
      <x:c r="E22" s="4"/>
      <x:c r="F22" s="4"/>
      <x:c r="G22" s="4"/>
      <x:c r="H22" s="4"/>
      <x:c r="I22" s="6"/>
      <x:c r="J22" s="11"/>
      <x:c r="K22" s="4"/>
      <x:c r="L22" s="4"/>
      <x:c r="M22" s="6"/>
      <x:c r="N22" s="6"/>
      <x:c r="O22" s="12"/>
      <x:c r="P22" s="4"/>
      <x:c r="Q22" s="4"/>
    </x:row>
    <x:row r="23" ht="15.75" hidden="1" customHeight="1">
      <x:c r="A23" s="4"/>
      <x:c r="B23" s="5"/>
      <x:c r="C23" s="4"/>
      <x:c r="D23" s="4"/>
      <x:c r="E23" s="4"/>
      <x:c r="F23" s="4"/>
      <x:c r="G23" s="4"/>
      <x:c r="H23" s="4"/>
      <x:c r="I23" s="6"/>
      <x:c r="J23" s="11"/>
      <x:c r="K23" s="4"/>
      <x:c r="L23" s="4"/>
      <x:c r="M23" s="6"/>
      <x:c r="N23" s="6"/>
      <x:c r="O23" s="12"/>
      <x:c r="P23" s="4"/>
      <x:c r="Q23" s="4"/>
    </x:row>
    <x:row r="24" ht="15.75" hidden="1" customHeight="1">
      <x:c r="A24" s="4"/>
      <x:c r="B24" s="5"/>
      <x:c r="C24" s="4"/>
      <x:c r="D24" s="4"/>
      <x:c r="E24" s="4"/>
      <x:c r="F24" s="4"/>
      <x:c r="G24" s="4"/>
      <x:c r="H24" s="4"/>
      <x:c r="I24" s="6"/>
      <x:c r="J24" s="11"/>
      <x:c r="K24" s="4"/>
      <x:c r="L24" s="4"/>
      <x:c r="M24" s="6"/>
      <x:c r="N24" s="6"/>
      <x:c r="O24" s="12"/>
      <x:c r="P24" s="4"/>
      <x:c r="Q24" s="4"/>
    </x:row>
    <x:row r="25" ht="15.75" hidden="1" customHeight="1">
      <x:c r="A25" s="4"/>
      <x:c r="B25" s="5"/>
      <x:c r="C25" s="4"/>
      <x:c r="D25" s="4"/>
      <x:c r="E25" s="4"/>
      <x:c r="F25" s="4"/>
      <x:c r="G25" s="4"/>
      <x:c r="H25" s="4"/>
      <x:c r="I25" s="6"/>
      <x:c r="J25" s="11"/>
      <x:c r="K25" s="4"/>
      <x:c r="L25" s="4"/>
      <x:c r="M25" s="6"/>
      <x:c r="N25" s="6"/>
      <x:c r="O25" s="12"/>
      <x:c r="P25" s="4"/>
      <x:c r="Q25" s="4"/>
    </x:row>
    <x:row r="26" ht="15.75" hidden="1" customHeight="1">
      <x:c r="A26" s="4"/>
      <x:c r="B26" s="5"/>
      <x:c r="C26" s="4"/>
      <x:c r="D26" s="4"/>
      <x:c r="E26" s="4"/>
      <x:c r="F26" s="4"/>
      <x:c r="G26" s="4"/>
      <x:c r="H26" s="4"/>
      <x:c r="I26" s="6"/>
      <x:c r="J26" s="11"/>
      <x:c r="K26" s="4"/>
      <x:c r="L26" s="4"/>
      <x:c r="M26" s="6"/>
      <x:c r="N26" s="6"/>
      <x:c r="O26" s="12"/>
      <x:c r="P26" s="4"/>
      <x:c r="Q26" s="4"/>
    </x:row>
    <x:row r="27" ht="15.75" hidden="1" customHeight="1">
      <x:c r="A27" s="4"/>
      <x:c r="B27" s="5"/>
      <x:c r="C27" s="4"/>
      <x:c r="D27" s="4"/>
      <x:c r="E27" s="4"/>
      <x:c r="F27" s="4"/>
      <x:c r="G27" s="4"/>
      <x:c r="H27" s="4"/>
      <x:c r="I27" s="6"/>
      <x:c r="J27" s="11"/>
      <x:c r="K27" s="4"/>
      <x:c r="L27" s="4"/>
      <x:c r="M27" s="6"/>
      <x:c r="N27" s="6"/>
      <x:c r="O27" s="12"/>
      <x:c r="P27" s="4"/>
      <x:c r="Q27" s="4"/>
    </x:row>
    <x:row r="28" ht="15.75" hidden="1" customHeight="1">
      <x:c r="A28" s="4"/>
      <x:c r="B28" s="5"/>
      <x:c r="C28" s="4"/>
      <x:c r="D28" s="4"/>
      <x:c r="E28" s="4"/>
      <x:c r="F28" s="4"/>
      <x:c r="G28" s="4"/>
      <x:c r="H28" s="4"/>
      <x:c r="I28" s="6"/>
      <x:c r="J28" s="11"/>
      <x:c r="K28" s="4"/>
      <x:c r="L28" s="4"/>
      <x:c r="M28" s="6"/>
      <x:c r="N28" s="6"/>
      <x:c r="O28" s="12"/>
      <x:c r="P28" s="4"/>
      <x:c r="Q28" s="4"/>
    </x:row>
    <x:row r="29" ht="15.75" hidden="1" customHeight="1">
      <x:c r="A29" s="4"/>
      <x:c r="B29" s="5"/>
      <x:c r="C29" s="4"/>
      <x:c r="D29" s="4"/>
      <x:c r="E29" s="4"/>
      <x:c r="F29" s="4"/>
      <x:c r="G29" s="4"/>
      <x:c r="H29" s="4"/>
      <x:c r="I29" s="6"/>
      <x:c r="J29" s="11"/>
      <x:c r="K29" s="4"/>
      <x:c r="L29" s="4"/>
      <x:c r="M29" s="6"/>
      <x:c r="N29" s="6"/>
      <x:c r="O29" s="12"/>
      <x:c r="P29" s="4"/>
      <x:c r="Q29" s="4"/>
    </x:row>
    <x:row r="30" ht="15.75" hidden="1" customHeight="1">
      <x:c r="A30" s="4"/>
      <x:c r="B30" s="5"/>
      <x:c r="C30" s="4"/>
      <x:c r="D30" s="4"/>
      <x:c r="E30" s="4"/>
      <x:c r="F30" s="4"/>
      <x:c r="G30" s="4"/>
      <x:c r="H30" s="4"/>
      <x:c r="I30" s="6"/>
      <x:c r="J30" s="11"/>
      <x:c r="K30" s="4"/>
      <x:c r="L30" s="4"/>
      <x:c r="M30" s="6"/>
      <x:c r="N30" s="6"/>
      <x:c r="O30" s="12"/>
      <x:c r="P30" s="4"/>
      <x:c r="Q30" s="4"/>
    </x:row>
    <x:row r="31" ht="15.75" hidden="1" customHeight="1">
      <x:c r="A31" s="4"/>
      <x:c r="B31" s="5"/>
      <x:c r="C31" s="4"/>
      <x:c r="D31" s="4"/>
      <x:c r="E31" s="4"/>
      <x:c r="F31" s="4"/>
      <x:c r="G31" s="4"/>
      <x:c r="H31" s="4"/>
      <x:c r="I31" s="6"/>
      <x:c r="J31" s="11"/>
      <x:c r="K31" s="4"/>
      <x:c r="L31" s="4"/>
      <x:c r="M31" s="6"/>
      <x:c r="N31" s="6"/>
      <x:c r="O31" s="12"/>
      <x:c r="P31" s="4"/>
      <x:c r="Q31" s="4"/>
    </x:row>
    <x:row r="32" ht="15.75" hidden="1" customHeight="1">
      <x:c r="A32" s="4">
        <x:v>2.0889873282E10</x:v>
      </x:c>
      <x:c r="B32" s="5">
        <x:v>46256.59305555555</x:v>
      </x:c>
      <x:c r="C32" s="4" t="s">
        <x:v>18</x:v>
      </x:c>
      <x:c r="D32" s="4" t="s">
        <x:v>19</x:v>
      </x:c>
      <x:c r="E32" s="4" t="s">
        <x:v>68</x:v>
      </x:c>
      <x:c r="F32" s="4" t="s">
        <x:v>21</x:v>
      </x:c>
      <x:c r="G32" s="4" t="s">
        <x:v>69</x:v>
      </x:c>
      <x:c r="H32" s="4" t="s">
        <x:v>23</x:v>
      </x:c>
      <x:c r="I32" s="6">
        <x:v>8.0</x:v>
      </x:c>
      <x:c r="J32" s="11">
        <x:v>1.47</x:v>
      </x:c>
      <x:c r="K32" s="4" t="s">
        <x:v>24</x:v>
      </x:c>
      <x:c r="L32" s="4" t="s">
        <x:v>58</x:v>
      </x:c>
      <x:c r="M32" s="6">
        <x:v>11.76</x:v>
      </x:c>
      <x:c r="N32" s="6">
        <x:v>3.76</x:v>
      </x:c>
      <x:c r="O32" s="12">
        <x:v>0.47</x:v>
      </x:c>
      <x:c r="P32" s="4" t="s">
        <x:v>61</x:v>
      </x:c>
      <x:c r="Q32" s="4" t="s">
        <x:v>70</x:v>
      </x:c>
    </x:row>
    <x:row r="33" ht="15.75" hidden="1" customHeight="1">
      <x:c r="A33" s="4">
        <x:v>2.0889876562E10</x:v>
      </x:c>
      <x:c r="B33" s="5">
        <x:v>46256.59305555555</x:v>
      </x:c>
      <x:c r="C33" s="4" t="s">
        <x:v>18</x:v>
      </x:c>
      <x:c r="D33" s="4" t="s">
        <x:v>19</x:v>
      </x:c>
      <x:c r="E33" s="4" t="s">
        <x:v>71</x:v>
      </x:c>
      <x:c r="F33" s="4" t="s">
        <x:v>21</x:v>
      </x:c>
      <x:c r="G33" s="4" t="s">
        <x:v>72</x:v>
      </x:c>
      <x:c r="H33" s="4" t="s">
        <x:v>23</x:v>
      </x:c>
      <x:c r="I33" s="6">
        <x:v>12.0</x:v>
      </x:c>
      <x:c r="J33" s="11">
        <x:v>1.57</x:v>
      </x:c>
      <x:c r="K33" s="4" t="s">
        <x:v>24</x:v>
      </x:c>
      <x:c r="L33" s="4" t="s">
        <x:v>38</x:v>
      </x:c>
      <x:c r="M33" s="6">
        <x:v>18.84</x:v>
      </x:c>
      <x:c r="N33" s="6">
        <x:v>6.84</x:v>
      </x:c>
      <x:c r="O33" s="12">
        <x:v>0.57</x:v>
      </x:c>
      <x:c r="P33" s="4" t="s">
        <x:v>61</x:v>
      </x:c>
      <x:c r="Q33" s="4" t="s">
        <x:v>70</x:v>
      </x:c>
    </x:row>
    <x:row r="34" ht="15.75" hidden="1" customHeight="1">
      <x:c r="A34" s="4">
        <x:v>2.0889883772E10</x:v>
      </x:c>
      <x:c r="B34" s="5">
        <x:v>46256.59375</x:v>
      </x:c>
      <x:c r="C34" s="4" t="s">
        <x:v>18</x:v>
      </x:c>
      <x:c r="D34" s="4" t="s">
        <x:v>19</x:v>
      </x:c>
      <x:c r="E34" s="4" t="s">
        <x:v>73</x:v>
      </x:c>
      <x:c r="F34" s="4" t="s">
        <x:v>21</x:v>
      </x:c>
      <x:c r="G34" s="4" t="s">
        <x:v>74</x:v>
      </x:c>
      <x:c r="H34" s="4" t="s">
        <x:v>23</x:v>
      </x:c>
      <x:c r="I34" s="6">
        <x:v>8.0</x:v>
      </x:c>
      <x:c r="J34" s="11">
        <x:v>2.05</x:v>
      </x:c>
      <x:c r="K34" s="4" t="s">
        <x:v>24</x:v>
      </x:c>
      <x:c r="L34" s="4" t="s">
        <x:v>75</x:v>
      </x:c>
      <x:c r="M34" s="6">
        <x:v>16.4</x:v>
      </x:c>
      <x:c r="N34" s="6">
        <x:v>8.4</x:v>
      </x:c>
      <x:c r="O34" s="12">
        <x:v>1.05</x:v>
      </x:c>
      <x:c r="P34" s="4" t="s">
        <x:v>61</x:v>
      </x:c>
      <x:c r="Q34" s="4" t="s">
        <x:v>70</x:v>
      </x:c>
    </x:row>
    <x:row r="35" ht="15.75" hidden="1" customHeight="1">
      <x:c r="A35" s="4">
        <x:v>2.0889888112E10</x:v>
      </x:c>
      <x:c r="B35" s="5">
        <x:v>46256.59375</x:v>
      </x:c>
      <x:c r="C35" s="4" t="s">
        <x:v>18</x:v>
      </x:c>
      <x:c r="D35" s="4" t="s">
        <x:v>19</x:v>
      </x:c>
      <x:c r="E35" s="4" t="s">
        <x:v>76</x:v>
      </x:c>
      <x:c r="F35" s="4" t="s">
        <x:v>21</x:v>
      </x:c>
      <x:c r="G35" s="4" t="s">
        <x:v>34</x:v>
      </x:c>
      <x:c r="H35" s="4" t="s">
        <x:v>34</x:v>
      </x:c>
      <x:c r="I35" s="6">
        <x:v>5.0</x:v>
      </x:c>
      <x:c r="J35" s="11">
        <x:v>3.15</x:v>
      </x:c>
      <x:c r="K35" s="4" t="s">
        <x:v>24</x:v>
      </x:c>
      <x:c r="L35" s="4" t="s">
        <x:v>35</x:v>
      </x:c>
      <x:c r="M35" s="6">
        <x:v>15.75</x:v>
      </x:c>
      <x:c r="N35" s="6">
        <x:v>10.75</x:v>
      </x:c>
      <x:c r="O35" s="12">
        <x:v>2.15</x:v>
      </x:c>
      <x:c r="P35" s="4" t="s">
        <x:v>26</x:v>
      </x:c>
      <x:c r="Q35" s="4" t="s">
        <x:v>70</x:v>
      </x:c>
    </x:row>
    <x:row r="36" ht="15.75" hidden="1" customHeight="1">
      <x:c r="A36" s="4">
        <x:v>2.0889894192E10</x:v>
      </x:c>
      <x:c r="B36" s="5">
        <x:v>46256.59444444445</x:v>
      </x:c>
      <x:c r="C36" s="4" t="s">
        <x:v>18</x:v>
      </x:c>
      <x:c r="D36" s="4" t="s">
        <x:v>19</x:v>
      </x:c>
      <x:c r="E36" s="4" t="s">
        <x:v>77</x:v>
      </x:c>
      <x:c r="F36" s="4" t="s">
        <x:v>78</x:v>
      </x:c>
      <x:c r="G36" s="4" t="s">
        <x:v>79</x:v>
      </x:c>
      <x:c r="H36" s="4" t="s">
        <x:v>80</x:v>
      </x:c>
      <x:c r="I36" s="6">
        <x:v>10.0</x:v>
      </x:c>
      <x:c r="J36" s="11">
        <x:v>1.78</x:v>
      </x:c>
      <x:c r="K36" s="4" t="s">
        <x:v>24</x:v>
      </x:c>
      <x:c r="L36" s="4" t="s">
        <x:v>35</x:v>
      </x:c>
      <x:c r="M36" s="6">
        <x:v>17.8</x:v>
      </x:c>
      <x:c r="N36" s="6">
        <x:v>7.8</x:v>
      </x:c>
      <x:c r="O36" s="12">
        <x:v>0.78</x:v>
      </x:c>
      <x:c r="P36" s="4" t="s">
        <x:v>26</x:v>
      </x:c>
      <x:c r="Q36" s="4" t="s">
        <x:v>70</x:v>
      </x:c>
      <x:c r="R36" s="1" t="s">
        <x:v>70</x:v>
      </x:c>
    </x:row>
    <x:row r="37" ht="15.75" hidden="1" customHeight="1">
      <x:c r="A37" s="4">
        <x:v>2.0890022582E10</x:v>
      </x:c>
      <x:c r="B37" s="5">
        <x:v>46256.603472222225</x:v>
      </x:c>
      <x:c r="C37" s="4" t="s">
        <x:v>18</x:v>
      </x:c>
      <x:c r="D37" s="4" t="s">
        <x:v>19</x:v>
      </x:c>
      <x:c r="E37" s="4" t="s">
        <x:v>77</x:v>
      </x:c>
      <x:c r="F37" s="4" t="s">
        <x:v>21</x:v>
      </x:c>
      <x:c r="G37" s="4" t="s">
        <x:v>81</x:v>
      </x:c>
      <x:c r="H37" s="4" t="s">
        <x:v>23</x:v>
      </x:c>
      <x:c r="I37" s="6">
        <x:v>7.0</x:v>
      </x:c>
      <x:c r="J37" s="11">
        <x:v>4.1</x:v>
      </x:c>
      <x:c r="K37" s="4" t="s">
        <x:v>82</x:v>
      </x:c>
      <x:c r="L37" s="4" t="s">
        <x:v>35</x:v>
      </x:c>
      <x:c r="M37" s="6">
        <x:v>1.86</x:v>
      </x:c>
      <x:c r="N37" s="6">
        <x:v>-5.14</x:v>
      </x:c>
      <x:c r="O37" s="12">
        <x:v>-0.7342857143</x:v>
      </x:c>
      <x:c r="P37" s="4" t="s">
        <x:v>26</x:v>
      </x:c>
      <x:c r="Q37" s="4" t="s">
        <x:v>83</x:v>
      </x:c>
    </x:row>
    <x:row r="38" ht="15.75" hidden="1" customHeight="1">
      <x:c r="A38" s="4">
        <x:v>2.0890019132E10</x:v>
      </x:c>
      <x:c r="B38" s="5">
        <x:v>46256.603472222225</x:v>
      </x:c>
      <x:c r="C38" s="4" t="s">
        <x:v>18</x:v>
      </x:c>
      <x:c r="D38" s="4" t="s">
        <x:v>19</x:v>
      </x:c>
      <x:c r="E38" s="4" t="s">
        <x:v>84</x:v>
      </x:c>
      <x:c r="F38" s="4" t="s">
        <x:v>21</x:v>
      </x:c>
      <x:c r="G38" s="4" t="s">
        <x:v>53</x:v>
      </x:c>
      <x:c r="H38" s="4" t="s">
        <x:v>23</x:v>
      </x:c>
      <x:c r="I38" s="6">
        <x:v>7.0</x:v>
      </x:c>
      <x:c r="J38" s="11">
        <x:v>2.32</x:v>
      </x:c>
      <x:c r="K38" s="4" t="s">
        <x:v>82</x:v>
      </x:c>
      <x:c r="L38" s="4" t="s">
        <x:v>38</x:v>
      </x:c>
      <x:c r="M38" s="6">
        <x:v>2.18</x:v>
      </x:c>
      <x:c r="N38" s="6">
        <x:v>-4.82</x:v>
      </x:c>
      <x:c r="O38" s="12">
        <x:v>-0.6885714286</x:v>
      </x:c>
      <x:c r="P38" s="4" t="s">
        <x:v>61</x:v>
      </x:c>
      <x:c r="Q38" s="4" t="s">
        <x:v>83</x:v>
      </x:c>
    </x:row>
    <x:row r="39" ht="15.75" hidden="1" customHeight="1">
      <x:c r="A39" s="4">
        <x:v>2.0890031002E10</x:v>
      </x:c>
      <x:c r="B39" s="5">
        <x:v>46256.604166666664</x:v>
      </x:c>
      <x:c r="C39" s="4" t="s">
        <x:v>18</x:v>
      </x:c>
      <x:c r="D39" s="4" t="s">
        <x:v>19</x:v>
      </x:c>
      <x:c r="E39" s="4" t="s">
        <x:v>85</x:v>
      </x:c>
      <x:c r="F39" s="4" t="s">
        <x:v>21</x:v>
      </x:c>
      <x:c r="G39" s="4" t="s">
        <x:v>86</x:v>
      </x:c>
      <x:c r="H39" s="4" t="s">
        <x:v>23</x:v>
      </x:c>
      <x:c r="I39" s="6">
        <x:v>5.0</x:v>
      </x:c>
      <x:c r="J39" s="11">
        <x:v>1.75</x:v>
      </x:c>
      <x:c r="K39" s="4" t="s">
        <x:v>82</x:v>
      </x:c>
      <x:c r="L39" s="4"/>
      <x:c r="M39" s="6">
        <x:v>5.0</x:v>
      </x:c>
      <x:c r="N39" s="6">
        <x:v>0.0</x:v>
      </x:c>
      <x:c r="O39" s="12">
        <x:v>0.0</x:v>
      </x:c>
      <x:c r="P39" s="4" t="s">
        <x:v>61</x:v>
      </x:c>
      <x:c r="Q39" s="4" t="s">
        <x:v>87</x:v>
      </x:c>
    </x:row>
    <x:row r="40" ht="15.75" hidden="1" customHeight="1">
      <x:c r="A40" s="4">
        <x:v>2.0891111252E10</x:v>
      </x:c>
      <x:c r="B40" s="5">
        <x:v>46256.67361111111</x:v>
      </x:c>
      <x:c r="C40" s="4" t="s">
        <x:v>18</x:v>
      </x:c>
      <x:c r="D40" s="4" t="s">
        <x:v>19</x:v>
      </x:c>
      <x:c r="E40" s="4" t="s">
        <x:v>88</x:v>
      </x:c>
      <x:c r="F40" s="4" t="s">
        <x:v>21</x:v>
      </x:c>
      <x:c r="G40" s="4" t="s">
        <x:v>89</x:v>
      </x:c>
      <x:c r="H40" s="4" t="s">
        <x:v>23</x:v>
      </x:c>
      <x:c r="I40" s="6">
        <x:v>5.0</x:v>
      </x:c>
      <x:c r="J40" s="11">
        <x:v>3.1</x:v>
      </x:c>
      <x:c r="K40" s="4" t="s">
        <x:v>37</x:v>
      </x:c>
      <x:c r="L40" s="4" t="s">
        <x:v>44</x:v>
      </x:c>
      <x:c r="M40" s="6">
        <x:v>0.0</x:v>
      </x:c>
      <x:c r="N40" s="6">
        <x:v>-5.0</x:v>
      </x:c>
      <x:c r="O40" s="12">
        <x:v>-1.0</x:v>
      </x:c>
      <x:c r="P40" s="4" t="s">
        <x:v>26</x:v>
      </x:c>
      <x:c r="Q40" s="4" t="s">
        <x:v>90</x:v>
      </x:c>
    </x:row>
    <x:row r="41" ht="15.75" customHeight="1">
      <x:c r="A41" s="7">
        <x:v>2.0899659102E10</x:v>
      </x:c>
      <x:c r="B41" s="8">
        <x:v>46257.60555555556</x:v>
      </x:c>
      <x:c r="C41" s="7" t="s">
        <x:v>18</x:v>
      </x:c>
      <x:c r="D41" s="7" t="s">
        <x:v>19</x:v>
      </x:c>
      <x:c r="E41" s="7" t="s">
        <x:v>91</x:v>
      </x:c>
      <x:c r="F41" s="7" t="s">
        <x:v>21</x:v>
      </x:c>
      <x:c r="G41" s="7" t="s">
        <x:v>22</x:v>
      </x:c>
      <x:c r="H41" s="7" t="s">
        <x:v>23</x:v>
      </x:c>
      <x:c r="I41" s="9">
        <x:v>15.0</x:v>
      </x:c>
      <x:c r="J41" s="28">
        <x:v>1.67</x:v>
      </x:c>
      <x:c r="K41" s="7" t="s">
        <x:v>24</x:v>
      </x:c>
      <x:c r="L41" s="29" t="s">
        <x:v>92</x:v>
      </x:c>
      <x:c r="M41" s="9">
        <x:v>25.05</x:v>
      </x:c>
      <x:c r="N41" s="9">
        <x:v>10.05</x:v>
      </x:c>
      <x:c r="O41" s="30">
        <x:v>0.67</x:v>
      </x:c>
      <x:c r="P41" s="7" t="s">
        <x:v>61</x:v>
      </x:c>
      <x:c r="Q41" s="7" t="s">
        <x:v>70</x:v>
      </x:c>
    </x:row>
    <x:row r="42" ht="15.75" customHeight="1">
      <x:c r="A42" s="7">
        <x:v>2.0899705692E10</x:v>
      </x:c>
      <x:c r="B42" s="8">
        <x:v>46257.60833333333</x:v>
      </x:c>
      <x:c r="C42" s="7" t="s">
        <x:v>18</x:v>
      </x:c>
      <x:c r="D42" s="7" t="s">
        <x:v>19</x:v>
      </x:c>
      <x:c r="E42" s="7" t="s">
        <x:v>85</x:v>
      </x:c>
      <x:c r="F42" s="7" t="s">
        <x:v>21</x:v>
      </x:c>
      <x:c r="G42" s="7" t="s">
        <x:v>86</x:v>
      </x:c>
      <x:c r="H42" s="7" t="s">
        <x:v>23</x:v>
      </x:c>
      <x:c r="I42" s="9">
        <x:v>5.0</x:v>
      </x:c>
      <x:c r="J42" s="28">
        <x:v>1.62</x:v>
      </x:c>
      <x:c r="K42" s="7" t="s">
        <x:v>24</x:v>
      </x:c>
      <x:c r="L42" s="7" t="s">
        <x:v>29</x:v>
      </x:c>
      <x:c r="M42" s="9">
        <x:v>8.1</x:v>
      </x:c>
      <x:c r="N42" s="9">
        <x:v>3.1</x:v>
      </x:c>
      <x:c r="O42" s="30">
        <x:v>0.62</x:v>
      </x:c>
      <x:c r="P42" s="7" t="s">
        <x:v>61</x:v>
      </x:c>
      <x:c r="Q42" s="7" t="s">
        <x:v>70</x:v>
      </x:c>
    </x:row>
    <x:row r="43" ht="15.75" customHeight="1">
      <x:c r="A43" s="7">
        <x:v>2.0899692022E10</x:v>
      </x:c>
      <x:c r="B43" s="8">
        <x:v>46257.60763888889</x:v>
      </x:c>
      <x:c r="C43" s="7" t="s">
        <x:v>18</x:v>
      </x:c>
      <x:c r="D43" s="7" t="s">
        <x:v>19</x:v>
      </x:c>
      <x:c r="E43" s="7" t="s">
        <x:v>93</x:v>
      </x:c>
      <x:c r="F43" s="7" t="s">
        <x:v>21</x:v>
      </x:c>
      <x:c r="G43" s="7" t="s">
        <x:v>55</x:v>
      </x:c>
      <x:c r="H43" s="7" t="s">
        <x:v>23</x:v>
      </x:c>
      <x:c r="I43" s="9">
        <x:v>12.0</x:v>
      </x:c>
      <x:c r="J43" s="28">
        <x:v>2.0</x:v>
      </x:c>
      <x:c r="K43" s="7" t="s">
        <x:v>37</x:v>
      </x:c>
      <x:c r="L43" s="7" t="s">
        <x:v>75</x:v>
      </x:c>
      <x:c r="M43" s="9">
        <x:v>0.0</x:v>
      </x:c>
      <x:c r="N43" s="9">
        <x:v>-12.0</x:v>
      </x:c>
      <x:c r="O43" s="30">
        <x:v>-1.0</x:v>
      </x:c>
      <x:c r="P43" s="7" t="s">
        <x:v>61</x:v>
      </x:c>
      <x:c r="Q43" s="7" t="s">
        <x:v>70</x:v>
      </x:c>
    </x:row>
    <x:row r="44" ht="15.75" customHeight="1">
      <x:c r="A44" s="7">
        <x:v>2.0899737282E10</x:v>
      </x:c>
      <x:c r="B44" s="8">
        <x:v>46257.61041666667</x:v>
      </x:c>
      <x:c r="C44" s="7" t="s">
        <x:v>18</x:v>
      </x:c>
      <x:c r="D44" s="7" t="s">
        <x:v>19</x:v>
      </x:c>
      <x:c r="E44" s="7" t="s">
        <x:v>94</x:v>
      </x:c>
      <x:c r="F44" s="7" t="s">
        <x:v>21</x:v>
      </x:c>
      <x:c r="G44" s="7" t="s">
        <x:v>34</x:v>
      </x:c>
      <x:c r="H44" s="7" t="s">
        <x:v>34</x:v>
      </x:c>
      <x:c r="I44" s="9">
        <x:v>5.0</x:v>
      </x:c>
      <x:c r="J44" s="28">
        <x:v>3.25</x:v>
      </x:c>
      <x:c r="K44" s="7" t="s">
        <x:v>37</x:v>
      </x:c>
      <x:c r="L44" s="7" t="s">
        <x:v>29</x:v>
      </x:c>
      <x:c r="M44" s="9">
        <x:v>0.0</x:v>
      </x:c>
      <x:c r="N44" s="9">
        <x:v>-5.0</x:v>
      </x:c>
      <x:c r="O44" s="30">
        <x:v>-1.0</x:v>
      </x:c>
      <x:c r="P44" s="7" t="s">
        <x:v>26</x:v>
      </x:c>
      <x:c r="Q44" s="7" t="s">
        <x:v>70</x:v>
      </x:c>
    </x:row>
    <x:row r="45" ht="15.75" customHeight="1">
      <x:c r="A45" s="7">
        <x:v>2.0899714632E10</x:v>
      </x:c>
      <x:c r="B45" s="8">
        <x:v>46257.60902777778</x:v>
      </x:c>
      <x:c r="C45" s="7" t="s">
        <x:v>18</x:v>
      </x:c>
      <x:c r="D45" s="7" t="s">
        <x:v>19</x:v>
      </x:c>
      <x:c r="E45" s="7" t="s">
        <x:v>95</x:v>
      </x:c>
      <x:c r="F45" s="7" t="s">
        <x:v>21</x:v>
      </x:c>
      <x:c r="G45" s="7" t="s">
        <x:v>34</x:v>
      </x:c>
      <x:c r="H45" s="7" t="s">
        <x:v>34</x:v>
      </x:c>
      <x:c r="I45" s="9">
        <x:v>5.0</x:v>
      </x:c>
      <x:c r="J45" s="28">
        <x:v>3.15</x:v>
      </x:c>
      <x:c r="K45" s="7" t="s">
        <x:v>37</x:v>
      </x:c>
      <x:c r="L45" s="7" t="s">
        <x:v>75</x:v>
      </x:c>
      <x:c r="M45" s="9">
        <x:v>0.0</x:v>
      </x:c>
      <x:c r="N45" s="9">
        <x:v>-5.0</x:v>
      </x:c>
      <x:c r="O45" s="30">
        <x:v>-1.0</x:v>
      </x:c>
      <x:c r="P45" s="7" t="s">
        <x:v>26</x:v>
      </x:c>
      <x:c r="Q45" s="7" t="s">
        <x:v>70</x:v>
      </x:c>
    </x:row>
    <x:row r="46" ht="15.75" customHeight="1">
      <x:c r="A46" s="7">
        <x:v>2.0899786302E10</x:v>
      </x:c>
      <x:c r="B46" s="8">
        <x:v>46257.61319444444</x:v>
      </x:c>
      <x:c r="C46" s="7" t="s">
        <x:v>18</x:v>
      </x:c>
      <x:c r="D46" s="7" t="s">
        <x:v>19</x:v>
      </x:c>
      <x:c r="E46" s="7" t="s">
        <x:v>96</x:v>
      </x:c>
      <x:c r="F46" s="7" t="s">
        <x:v>21</x:v>
      </x:c>
      <x:c r="G46" s="7" t="s">
        <x:v>34</x:v>
      </x:c>
      <x:c r="H46" s="7" t="s">
        <x:v>34</x:v>
      </x:c>
      <x:c r="I46" s="9">
        <x:v>5.0</x:v>
      </x:c>
      <x:c r="J46" s="28">
        <x:v>3.0</x:v>
      </x:c>
      <x:c r="K46" s="7" t="s">
        <x:v>37</x:v>
      </x:c>
      <x:c r="L46" s="29" t="s">
        <x:v>38</x:v>
      </x:c>
      <x:c r="M46" s="9">
        <x:v>0.0</x:v>
      </x:c>
      <x:c r="N46" s="9">
        <x:v>-5.0</x:v>
      </x:c>
      <x:c r="O46" s="30">
        <x:v>-1.0</x:v>
      </x:c>
      <x:c r="P46" s="7" t="s">
        <x:v>26</x:v>
      </x:c>
      <x:c r="Q46" s="7" t="s">
        <x:v>70</x:v>
      </x:c>
    </x:row>
    <x:row r="47" ht="15.75" customHeight="1">
      <x:c r="A47" s="7">
        <x:v>2.0899769072E10</x:v>
      </x:c>
      <x:c r="B47" s="8">
        <x:v>46257.6125</x:v>
      </x:c>
      <x:c r="C47" s="7" t="s">
        <x:v>18</x:v>
      </x:c>
      <x:c r="D47" s="7" t="s">
        <x:v>19</x:v>
      </x:c>
      <x:c r="E47" s="7" t="s">
        <x:v>97</x:v>
      </x:c>
      <x:c r="F47" s="7" t="s">
        <x:v>21</x:v>
      </x:c>
      <x:c r="G47" s="7" t="s">
        <x:v>34</x:v>
      </x:c>
      <x:c r="H47" s="7" t="s">
        <x:v>34</x:v>
      </x:c>
      <x:c r="I47" s="9">
        <x:v>5.0</x:v>
      </x:c>
      <x:c r="J47" s="28">
        <x:v>3.7</x:v>
      </x:c>
      <x:c r="K47" s="7" t="s">
        <x:v>24</x:v>
      </x:c>
      <x:c r="L47" s="29" t="s">
        <x:v>44</x:v>
      </x:c>
      <x:c r="M47" s="9">
        <x:v>18.5</x:v>
      </x:c>
      <x:c r="N47" s="9">
        <x:v>13.5</x:v>
      </x:c>
      <x:c r="O47" s="30">
        <x:v>2.7</x:v>
      </x:c>
      <x:c r="P47" s="7" t="s">
        <x:v>61</x:v>
      </x:c>
      <x:c r="Q47" s="7" t="s">
        <x:v>70</x:v>
      </x:c>
    </x:row>
    <x:row r="48" ht="15.75" customHeight="1">
      <x:c r="A48" s="7">
        <x:v>2.0900205712E10</x:v>
      </x:c>
      <x:c r="B48" s="8">
        <x:v>46257.63958333333</x:v>
      </x:c>
      <x:c r="C48" s="7" t="s">
        <x:v>18</x:v>
      </x:c>
      <x:c r="D48" s="7" t="s">
        <x:v>19</x:v>
      </x:c>
      <x:c r="E48" s="7" t="s">
        <x:v>98</x:v>
      </x:c>
      <x:c r="F48" s="7" t="s">
        <x:v>21</x:v>
      </x:c>
      <x:c r="G48" s="7" t="s">
        <x:v>99</x:v>
      </x:c>
      <x:c r="H48" s="7" t="s">
        <x:v>23</x:v>
      </x:c>
      <x:c r="I48" s="9">
        <x:v>5.0</x:v>
      </x:c>
      <x:c r="J48" s="28">
        <x:v>1.42</x:v>
      </x:c>
      <x:c r="K48" s="7" t="s">
        <x:v>24</x:v>
      </x:c>
      <x:c r="L48" s="7" t="s">
        <x:v>32</x:v>
      </x:c>
      <x:c r="M48" s="9">
        <x:v>7.1</x:v>
      </x:c>
      <x:c r="N48" s="9">
        <x:v>2.1</x:v>
      </x:c>
      <x:c r="O48" s="30">
        <x:v>0.42</x:v>
      </x:c>
      <x:c r="P48" s="7" t="s">
        <x:v>26</x:v>
      </x:c>
      <x:c r="Q48" s="7" t="s">
        <x:v>100</x:v>
      </x:c>
    </x:row>
    <x:row r="49" ht="15.75" customHeight="1">
      <x:c r="A49" s="7">
        <x:v>2.0900166452E10</x:v>
      </x:c>
      <x:c r="B49" s="8">
        <x:v>46257.6375</x:v>
      </x:c>
      <x:c r="C49" s="7" t="s">
        <x:v>18</x:v>
      </x:c>
      <x:c r="D49" s="7" t="s">
        <x:v>19</x:v>
      </x:c>
      <x:c r="E49" s="7" t="s">
        <x:v>101</x:v>
      </x:c>
      <x:c r="F49" s="7" t="s">
        <x:v>21</x:v>
      </x:c>
      <x:c r="G49" s="7" t="s">
        <x:v>102</x:v>
      </x:c>
      <x:c r="H49" s="7" t="s">
        <x:v>23</x:v>
      </x:c>
      <x:c r="I49" s="9">
        <x:v>5.0</x:v>
      </x:c>
      <x:c r="J49" s="28">
        <x:v>1.82</x:v>
      </x:c>
      <x:c r="K49" s="7" t="s">
        <x:v>24</x:v>
      </x:c>
      <x:c r="L49" s="7" t="s">
        <x:v>75</x:v>
      </x:c>
      <x:c r="M49" s="9">
        <x:v>9.1</x:v>
      </x:c>
      <x:c r="N49" s="9">
        <x:v>4.1</x:v>
      </x:c>
      <x:c r="O49" s="30">
        <x:v>0.82</x:v>
      </x:c>
      <x:c r="P49" s="7" t="s">
        <x:v>61</x:v>
      </x:c>
      <x:c r="Q49" s="7" t="s">
        <x:v>100</x:v>
      </x:c>
    </x:row>
    <x:row r="50" ht="15.75" customHeight="1">
      <x:c r="A50" s="7">
        <x:v>2.0901589102E10</x:v>
      </x:c>
      <x:c r="B50" s="8">
        <x:v>46257.720138888886</x:v>
      </x:c>
      <x:c r="C50" s="7" t="s">
        <x:v>18</x:v>
      </x:c>
      <x:c r="D50" s="7" t="s">
        <x:v>19</x:v>
      </x:c>
      <x:c r="E50" s="7" t="s">
        <x:v>91</x:v>
      </x:c>
      <x:c r="F50" s="7" t="s">
        <x:v>78</x:v>
      </x:c>
      <x:c r="G50" s="7" t="s">
        <x:v>103</x:v>
      </x:c>
      <x:c r="H50" s="7" t="s">
        <x:v>104</x:v>
      </x:c>
      <x:c r="I50" s="9">
        <x:v>5.0</x:v>
      </x:c>
      <x:c r="J50" s="28">
        <x:v>3.1</x:v>
      </x:c>
      <x:c r="K50" s="7" t="s">
        <x:v>24</x:v>
      </x:c>
      <x:c r="L50" s="29" t="s">
        <x:v>92</x:v>
      </x:c>
      <x:c r="M50" s="9">
        <x:v>15.5</x:v>
      </x:c>
      <x:c r="N50" s="9">
        <x:v>10.5</x:v>
      </x:c>
      <x:c r="O50" s="30">
        <x:v>2.1</x:v>
      </x:c>
      <x:c r="P50" s="7" t="s">
        <x:v>26</x:v>
      </x:c>
      <x:c r="Q50" s="7" t="s">
        <x:v>100</x:v>
      </x:c>
    </x:row>
    <x:row r="51" ht="15.75" customHeight="1">
      <x:c r="A51" s="7">
        <x:v>2.0901184682E10</x:v>
      </x:c>
      <x:c r="B51" s="8">
        <x:v>46257.68958333333</x:v>
      </x:c>
      <x:c r="C51" s="7" t="s">
        <x:v>18</x:v>
      </x:c>
      <x:c r="D51" s="7" t="s">
        <x:v>19</x:v>
      </x:c>
      <x:c r="E51" s="7" t="s">
        <x:v>105</x:v>
      </x:c>
      <x:c r="F51" s="7" t="s">
        <x:v>21</x:v>
      </x:c>
      <x:c r="G51" s="7" t="s">
        <x:v>106</x:v>
      </x:c>
      <x:c r="H51" s="7" t="s">
        <x:v>23</x:v>
      </x:c>
      <x:c r="I51" s="9">
        <x:v>5.0</x:v>
      </x:c>
      <x:c r="J51" s="28">
        <x:v>2.07</x:v>
      </x:c>
      <x:c r="K51" s="7" t="s">
        <x:v>37</x:v>
      </x:c>
      <x:c r="L51" s="29" t="s">
        <x:v>44</x:v>
      </x:c>
      <x:c r="M51" s="9">
        <x:v>0.0</x:v>
      </x:c>
      <x:c r="N51" s="9">
        <x:v>-5.0</x:v>
      </x:c>
      <x:c r="O51" s="30">
        <x:v>-1.0</x:v>
      </x:c>
      <x:c r="P51" s="7" t="s">
        <x:v>26</x:v>
      </x:c>
      <x:c r="Q51" s="7" t="s">
        <x:v>100</x:v>
      </x:c>
    </x:row>
    <x:row r="52" ht="15.75" customHeight="1">
      <x:c r="A52" s="10" t="s">
        <x:v>107</x:v>
      </x:c>
      <x:c r="B52" s="10" t="s">
        <x:v>108</x:v>
      </x:c>
      <x:c r="C52" s="1" t="s">
        <x:v>18</x:v>
      </x:c>
      <x:c r="D52" s="1" t="s">
        <x:v>19</x:v>
      </x:c>
      <x:c r="E52" s="1" t="s">
        <x:v>109</x:v>
      </x:c>
      <x:c r="F52" s="1" t="s">
        <x:v>21</x:v>
      </x:c>
      <x:c r="G52" s="1" t="s">
        <x:v>110</x:v>
      </x:c>
      <x:c r="H52" s="1" t="s">
        <x:v>23</x:v>
      </x:c>
      <x:c r="I52" s="1">
        <x:v>15.0</x:v>
      </x:c>
      <x:c r="J52" s="1">
        <x:v>1.47</x:v>
      </x:c>
      <x:c r="K52" s="1" t="s">
        <x:v>24</x:v>
      </x:c>
      <x:c r="L52" s="10" t="s">
        <x:v>58</x:v>
      </x:c>
      <x:c r="M52" s="1">
        <x:v>22.05</x:v>
      </x:c>
      <x:c r="N52" s="1">
        <x:v>7.05</x:v>
      </x:c>
    </x:row>
    <x:row r="53" ht="15.75" customHeight="1">
      <x:c r="A53" s="10" t="s">
        <x:v>111</x:v>
      </x:c>
      <x:c r="B53" s="10" t="s">
        <x:v>112</x:v>
      </x:c>
      <x:c r="C53" s="1" t="s">
        <x:v>18</x:v>
      </x:c>
      <x:c r="D53" s="1" t="s">
        <x:v>19</x:v>
      </x:c>
      <x:c r="E53" s="1" t="s">
        <x:v>113</x:v>
      </x:c>
      <x:c r="F53" s="1" t="s">
        <x:v>21</x:v>
      </x:c>
      <x:c r="G53" s="1" t="s">
        <x:v>114</x:v>
      </x:c>
      <x:c r="H53" s="1" t="s">
        <x:v>23</x:v>
      </x:c>
      <x:c r="I53" s="1">
        <x:v>10.0</x:v>
      </x:c>
      <x:c r="J53" s="1">
        <x:v>1.15</x:v>
      </x:c>
      <x:c r="K53" s="1" t="s">
        <x:v>24</x:v>
      </x:c>
      <x:c r="L53" s="1" t="s">
        <x:v>29</x:v>
      </x:c>
      <x:c r="M53" s="1">
        <x:v>11.5</x:v>
      </x:c>
      <x:c r="N53" s="1">
        <x:v>1.5</x:v>
      </x:c>
    </x:row>
    <x:row r="54" ht="15.75" customHeight="1">
      <x:c r="A54" s="10" t="s">
        <x:v>115</x:v>
      </x:c>
      <x:c r="B54" s="10" t="s">
        <x:v>116</x:v>
      </x:c>
      <x:c r="C54" s="1" t="s">
        <x:v>18</x:v>
      </x:c>
      <x:c r="D54" s="1" t="s">
        <x:v>19</x:v>
      </x:c>
      <x:c r="E54" s="1" t="s">
        <x:v>117</x:v>
      </x:c>
      <x:c r="F54" s="1" t="s">
        <x:v>78</x:v>
      </x:c>
      <x:c r="G54" s="1" t="s">
        <x:v>79</x:v>
      </x:c>
      <x:c r="H54" s="1" t="s">
        <x:v>80</x:v>
      </x:c>
      <x:c r="I54" s="1">
        <x:v>10.0</x:v>
      </x:c>
      <x:c r="J54" s="1">
        <x:v>1.6</x:v>
      </x:c>
      <x:c r="K54" s="1" t="s">
        <x:v>24</x:v>
      </x:c>
      <x:c r="L54" s="1" t="s">
        <x:v>75</x:v>
      </x:c>
      <x:c r="M54" s="1">
        <x:v>16.0</x:v>
      </x:c>
      <x:c r="N54" s="1">
        <x:v>6.0</x:v>
      </x:c>
      <x:c r="R54" s="1" t="s">
        <x:v>118</x:v>
      </x:c>
    </x:row>
    <x:row r="55" ht="15.75" customHeight="1">
      <x:c r="A55" s="10" t="s">
        <x:v>119</x:v>
      </x:c>
      <x:c r="B55" s="10" t="s">
        <x:v>120</x:v>
      </x:c>
      <x:c r="C55" s="1" t="s">
        <x:v>18</x:v>
      </x:c>
      <x:c r="D55" s="1" t="s">
        <x:v>19</x:v>
      </x:c>
      <x:c r="E55" s="1" t="s">
        <x:v>121</x:v>
      </x:c>
      <x:c r="F55" s="1" t="s">
        <x:v>78</x:v>
      </x:c>
      <x:c r="G55" s="1" t="s">
        <x:v>79</x:v>
      </x:c>
      <x:c r="H55" s="1" t="s">
        <x:v>80</x:v>
      </x:c>
      <x:c r="I55" s="1">
        <x:v>15.0</x:v>
      </x:c>
      <x:c r="J55" s="1">
        <x:v>1.62</x:v>
      </x:c>
      <x:c r="K55" s="1" t="s">
        <x:v>24</x:v>
      </x:c>
      <x:c r="L55" s="10" t="s">
        <x:v>44</x:v>
      </x:c>
      <x:c r="M55" s="1">
        <x:v>24.3</x:v>
      </x:c>
      <x:c r="N55" s="1">
        <x:v>9.3</x:v>
      </x:c>
      <x:c r="R55" s="1" t="s">
        <x:v>70</x:v>
      </x:c>
    </x:row>
    <x:row r="56" ht="15.75" customHeight="1">
      <x:c r="A56" s="10" t="s">
        <x:v>122</x:v>
      </x:c>
      <x:c r="B56" s="10" t="s">
        <x:v>123</x:v>
      </x:c>
      <x:c r="C56" s="1" t="s">
        <x:v>18</x:v>
      </x:c>
      <x:c r="D56" s="1" t="s">
        <x:v>19</x:v>
      </x:c>
      <x:c r="E56" s="1" t="s">
        <x:v>124</x:v>
      </x:c>
      <x:c r="F56" s="1" t="s">
        <x:v>78</x:v>
      </x:c>
      <x:c r="G56" s="1" t="s">
        <x:v>79</x:v>
      </x:c>
      <x:c r="H56" s="1" t="s">
        <x:v>80</x:v>
      </x:c>
      <x:c r="I56" s="1">
        <x:v>15.0</x:v>
      </x:c>
      <x:c r="J56" s="1">
        <x:v>1.6</x:v>
      </x:c>
      <x:c r="K56" s="1" t="s">
        <x:v>37</x:v>
      </x:c>
      <x:c r="L56" s="10" t="s">
        <x:v>38</x:v>
      </x:c>
      <x:c r="M56" s="1">
        <x:v>0.0</x:v>
      </x:c>
      <x:c r="N56" s="1">
        <x:v>-15.0</x:v>
      </x:c>
      <x:c r="R56" s="1" t="s">
        <x:v>70</x:v>
      </x:c>
    </x:row>
    <x:row r="57" ht="15.75" customHeight="1">
      <x:c r="A57" s="10" t="s">
        <x:v>125</x:v>
      </x:c>
      <x:c r="B57" s="10" t="s">
        <x:v>123</x:v>
      </x:c>
      <x:c r="C57" s="1" t="s">
        <x:v>18</x:v>
      </x:c>
      <x:c r="D57" s="1" t="s">
        <x:v>19</x:v>
      </x:c>
      <x:c r="E57" s="1" t="s">
        <x:v>126</x:v>
      </x:c>
      <x:c r="F57" s="1" t="s">
        <x:v>21</x:v>
      </x:c>
      <x:c r="G57" s="1" t="s">
        <x:v>127</x:v>
      </x:c>
      <x:c r="H57" s="1" t="s">
        <x:v>23</x:v>
      </x:c>
      <x:c r="I57" s="1">
        <x:v>12.0</x:v>
      </x:c>
      <x:c r="J57" s="1">
        <x:v>1.6</x:v>
      </x:c>
      <x:c r="K57" s="1" t="s">
        <x:v>24</x:v>
      </x:c>
      <x:c r="L57" s="10" t="s">
        <x:v>128</x:v>
      </x:c>
      <x:c r="M57" s="1">
        <x:v>19.2</x:v>
      </x:c>
      <x:c r="N57" s="1">
        <x:v>7.2</x:v>
      </x:c>
    </x:row>
    <x:row r="58" ht="15.75" customHeight="1">
      <x:c r="A58" s="10" t="s">
        <x:v>129</x:v>
      </x:c>
      <x:c r="B58" s="10" t="s">
        <x:v>130</x:v>
      </x:c>
      <x:c r="C58" s="1" t="s">
        <x:v>18</x:v>
      </x:c>
      <x:c r="D58" s="1" t="s">
        <x:v>19</x:v>
      </x:c>
      <x:c r="E58" s="1" t="s">
        <x:v>131</x:v>
      </x:c>
      <x:c r="F58" s="1" t="s">
        <x:v>132</x:v>
      </x:c>
      <x:c r="G58" s="1" t="s">
        <x:v>35</x:v>
      </x:c>
      <x:c r="H58" s="1" t="s">
        <x:v>133</x:v>
      </x:c>
      <x:c r="I58" s="1">
        <x:v>10.0</x:v>
      </x:c>
      <x:c r="J58" s="1">
        <x:v>5.9</x:v>
      </x:c>
      <x:c r="K58" s="1" t="s">
        <x:v>82</x:v>
      </x:c>
      <x:c r="L58" s="1" t="s">
        <x:v>64</x:v>
      </x:c>
      <x:c r="M58" s="1">
        <x:v>10.0</x:v>
      </x:c>
      <x:c r="N58" s="1">
        <x:v>0.0</x:v>
      </x:c>
    </x:row>
    <x:row r="59" ht="15.75" customHeight="1">
      <x:c r="A59" s="10" t="s">
        <x:v>134</x:v>
      </x:c>
      <x:c r="B59" s="10" t="s">
        <x:v>135</x:v>
      </x:c>
      <x:c r="C59" s="1" t="s">
        <x:v>18</x:v>
      </x:c>
      <x:c r="D59" s="1" t="s">
        <x:v>19</x:v>
      </x:c>
      <x:c r="E59" s="1" t="s">
        <x:v>131</x:v>
      </x:c>
      <x:c r="F59" s="1" t="s">
        <x:v>78</x:v>
      </x:c>
      <x:c r="G59" s="1" t="s">
        <x:v>79</x:v>
      </x:c>
      <x:c r="H59" s="1" t="s">
        <x:v>80</x:v>
      </x:c>
      <x:c r="I59" s="1">
        <x:v>10.0</x:v>
      </x:c>
      <x:c r="J59" s="1">
        <x:v>1.53</x:v>
      </x:c>
      <x:c r="K59" s="1" t="s">
        <x:v>37</x:v>
      </x:c>
      <x:c r="L59" s="1" t="s">
        <x:v>64</x:v>
      </x:c>
      <x:c r="M59" s="1">
        <x:v>0.0</x:v>
      </x:c>
      <x:c r="N59" s="1">
        <x:v>-10.0</x:v>
      </x:c>
      <x:c r="R59" s="1" t="s">
        <x:v>100</x:v>
      </x:c>
    </x:row>
    <x:row r="60" ht="15.75" customHeight="1">
      <x:c r="A60" s="10" t="s">
        <x:v>136</x:v>
      </x:c>
      <x:c r="B60" s="10" t="s">
        <x:v>137</x:v>
      </x:c>
      <x:c r="C60" s="1" t="s">
        <x:v>18</x:v>
      </x:c>
      <x:c r="D60" s="1" t="s">
        <x:v>19</x:v>
      </x:c>
      <x:c r="E60" s="1" t="s">
        <x:v>138</x:v>
      </x:c>
      <x:c r="F60" s="1" t="s">
        <x:v>139</x:v>
      </x:c>
      <x:c r="G60" s="1" t="s">
        <x:v>140</x:v>
      </x:c>
      <x:c r="H60" s="1" t="s">
        <x:v>141</x:v>
      </x:c>
      <x:c r="I60" s="1">
        <x:v>10.0</x:v>
      </x:c>
      <x:c r="J60" s="1">
        <x:v>1.7</x:v>
      </x:c>
      <x:c r="K60" s="1" t="s">
        <x:v>37</x:v>
      </x:c>
      <x:c r="L60" s="1" t="s">
        <x:v>29</x:v>
      </x:c>
      <x:c r="M60" s="1">
        <x:v>0.0</x:v>
      </x:c>
      <x:c r="N60" s="1">
        <x:v>-10.0</x:v>
      </x:c>
    </x:row>
    <x:row r="61" ht="15.75" customHeight="1">
      <x:c r="A61" s="10" t="s">
        <x:v>142</x:v>
      </x:c>
      <x:c r="B61" s="10" t="s">
        <x:v>143</x:v>
      </x:c>
      <x:c r="C61" s="1" t="s">
        <x:v>18</x:v>
      </x:c>
      <x:c r="D61" s="1" t="s">
        <x:v>19</x:v>
      </x:c>
      <x:c r="E61" s="1" t="s">
        <x:v>144</x:v>
      </x:c>
      <x:c r="F61" s="1" t="s">
        <x:v>21</x:v>
      </x:c>
      <x:c r="G61" s="1" t="s">
        <x:v>145</x:v>
      </x:c>
      <x:c r="H61" s="1" t="s">
        <x:v>23</x:v>
      </x:c>
      <x:c r="I61" s="1">
        <x:v>10.0</x:v>
      </x:c>
      <x:c r="J61" s="1">
        <x:v>1.15</x:v>
      </x:c>
      <x:c r="K61" s="1" t="s">
        <x:v>37</x:v>
      </x:c>
      <x:c r="L61" s="10" t="s">
        <x:v>146</x:v>
      </x:c>
      <x:c r="M61" s="1">
        <x:v>0.0</x:v>
      </x:c>
      <x:c r="N61" s="1">
        <x:v>-10.0</x:v>
      </x:c>
    </x:row>
    <x:row r="62" ht="15.75" customHeight="1">
      <x:c r="A62" s="1" t="s">
        <x:v>147</x:v>
      </x:c>
      <x:c r="B62" s="10" t="s">
        <x:v>148</x:v>
      </x:c>
      <x:c r="C62" s="1" t="s">
        <x:v>18</x:v>
      </x:c>
      <x:c r="D62" s="1" t="s">
        <x:v>19</x:v>
      </x:c>
      <x:c r="E62" s="1" t="s">
        <x:v>121</x:v>
      </x:c>
      <x:c r="F62" s="1" t="s">
        <x:v>21</x:v>
      </x:c>
      <x:c r="G62" s="1" t="s">
        <x:v>149</x:v>
      </x:c>
      <x:c r="H62" s="1" t="s">
        <x:v>23</x:v>
      </x:c>
      <x:c r="I62" s="1">
        <x:v>4.0</x:v>
      </x:c>
      <x:c r="J62" s="1">
        <x:v>2.0</x:v>
      </x:c>
      <x:c r="K62" s="1" t="s">
        <x:v>82</x:v>
      </x:c>
      <x:c r="L62" s="10" t="s">
        <x:v>44</x:v>
      </x:c>
      <x:c r="M62" s="1">
        <x:v>4.0</x:v>
      </x:c>
      <x:c r="N62" s="1">
        <x:v>0.0</x:v>
      </x:c>
    </x:row>
    <x:row r="63" ht="15.75" customHeight="1">
      <x:c r="A63" s="1" t="s">
        <x:v>150</x:v>
      </x:c>
      <x:c r="B63" s="10" t="s">
        <x:v>151</x:v>
      </x:c>
      <x:c r="C63" s="1" t="s">
        <x:v>18</x:v>
      </x:c>
      <x:c r="D63" s="1" t="s">
        <x:v>19</x:v>
      </x:c>
      <x:c r="E63" s="1" t="s">
        <x:v>152</x:v>
      </x:c>
      <x:c r="F63" s="1" t="s">
        <x:v>78</x:v>
      </x:c>
      <x:c r="G63" s="1" t="s">
        <x:v>153</x:v>
      </x:c>
      <x:c r="H63" s="1" t="s">
        <x:v>80</x:v>
      </x:c>
      <x:c r="I63" s="1">
        <x:v>5.0</x:v>
      </x:c>
      <x:c r="J63" s="1">
        <x:v>1.47</x:v>
      </x:c>
      <x:c r="K63" s="1" t="s">
        <x:v>82</x:v>
      </x:c>
      <x:c r="L63" s="10" t="s">
        <x:v>58</x:v>
      </x:c>
      <x:c r="M63" s="1">
        <x:v>3.29</x:v>
      </x:c>
      <x:c r="N63" s="1">
        <x:v>-1.71</x:v>
      </x:c>
      <x:c r="R63" s="1" t="s">
        <x:v>100</x:v>
      </x:c>
    </x:row>
    <x:row r="64" ht="15.75" customHeight="1">
      <x:c r="A64" s="1" t="s">
        <x:v>154</x:v>
      </x:c>
      <x:c r="B64" s="10" t="s">
        <x:v>155</x:v>
      </x:c>
      <x:c r="C64" s="1" t="s">
        <x:v>18</x:v>
      </x:c>
      <x:c r="D64" s="1" t="s">
        <x:v>19</x:v>
      </x:c>
      <x:c r="E64" s="1" t="s">
        <x:v>156</x:v>
      </x:c>
      <x:c r="F64" s="1" t="s">
        <x:v>21</x:v>
      </x:c>
      <x:c r="G64" s="1" t="s">
        <x:v>157</x:v>
      </x:c>
      <x:c r="H64" s="1" t="s">
        <x:v>23</x:v>
      </x:c>
      <x:c r="I64" s="1">
        <x:v>8.0</x:v>
      </x:c>
      <x:c r="J64" s="1">
        <x:v>3.0</x:v>
      </x:c>
      <x:c r="K64" s="1" t="s">
        <x:v>37</x:v>
      </x:c>
      <x:c r="L64" s="1" t="s">
        <x:v>35</x:v>
      </x:c>
      <x:c r="M64" s="1">
        <x:v>0.0</x:v>
      </x:c>
      <x:c r="N64" s="1">
        <x:v>-8.0</x:v>
      </x:c>
    </x:row>
    <x:row r="65" ht="15.75" customHeight="1">
      <x:c r="A65" s="10" t="s">
        <x:v>158</x:v>
      </x:c>
      <x:c r="B65" s="10" t="s">
        <x:v>159</x:v>
      </x:c>
      <x:c r="C65" s="1" t="s">
        <x:v>18</x:v>
      </x:c>
      <x:c r="D65" s="1" t="s">
        <x:v>19</x:v>
      </x:c>
      <x:c r="E65" s="1" t="s">
        <x:v>121</x:v>
      </x:c>
      <x:c r="F65" s="1" t="s">
        <x:v>139</x:v>
      </x:c>
      <x:c r="G65" s="1" t="s">
        <x:v>160</x:v>
      </x:c>
      <x:c r="H65" s="1" t="s">
        <x:v>141</x:v>
      </x:c>
      <x:c r="I65" s="1">
        <x:v>33.0</x:v>
      </x:c>
      <x:c r="J65" s="1">
        <x:v>1.25</x:v>
      </x:c>
      <x:c r="K65" s="1" t="s">
        <x:v>24</x:v>
      </x:c>
      <x:c r="L65" s="10" t="s">
        <x:v>44</x:v>
      </x:c>
      <x:c r="M65" s="1">
        <x:v>41.25</x:v>
      </x:c>
      <x:c r="N65" s="1">
        <x:v>8.25</x:v>
      </x:c>
    </x:row>
    <x:row r="66" ht="15.75" customHeight="1">
      <x:c r="A66" s="10" t="s">
        <x:v>161</x:v>
      </x:c>
      <x:c r="B66" s="10" t="s">
        <x:v>162</x:v>
      </x:c>
      <x:c r="C66" s="1" t="s">
        <x:v>18</x:v>
      </x:c>
      <x:c r="D66" s="1" t="s">
        <x:v>19</x:v>
      </x:c>
      <x:c r="E66" s="1" t="s">
        <x:v>163</x:v>
      </x:c>
      <x:c r="F66" s="1" t="s">
        <x:v>21</x:v>
      </x:c>
      <x:c r="G66" s="1" t="s">
        <x:v>164</x:v>
      </x:c>
      <x:c r="H66" s="1" t="s">
        <x:v>23</x:v>
      </x:c>
      <x:c r="I66" s="1">
        <x:v>5.0</x:v>
      </x:c>
      <x:c r="J66" s="1">
        <x:v>1.5</x:v>
      </x:c>
      <x:c r="K66" s="1" t="s">
        <x:v>24</x:v>
      </x:c>
      <x:c r="L66" s="1" t="s">
        <x:v>25</x:v>
      </x:c>
      <x:c r="M66" s="1">
        <x:v>7.5</x:v>
      </x:c>
      <x:c r="N66" s="1">
        <x:v>2.5</x:v>
      </x:c>
    </x:row>
    <x:row r="67" ht="15.75" customHeight="1">
      <x:c r="A67" s="10" t="s">
        <x:v>165</x:v>
      </x:c>
      <x:c r="B67" s="10" t="s">
        <x:v>166</x:v>
      </x:c>
      <x:c r="C67" s="1" t="s">
        <x:v>18</x:v>
      </x:c>
      <x:c r="D67" s="1" t="s">
        <x:v>19</x:v>
      </x:c>
      <x:c r="E67" s="1" t="s">
        <x:v>167</x:v>
      </x:c>
      <x:c r="F67" s="1" t="s">
        <x:v>21</x:v>
      </x:c>
      <x:c r="G67" s="1" t="s">
        <x:v>168</x:v>
      </x:c>
      <x:c r="H67" s="1" t="s">
        <x:v>23</x:v>
      </x:c>
      <x:c r="I67" s="1">
        <x:v>5.0</x:v>
      </x:c>
      <x:c r="J67" s="1">
        <x:v>1.72</x:v>
      </x:c>
      <x:c r="K67" s="1" t="s">
        <x:v>24</x:v>
      </x:c>
      <x:c r="L67" s="10" t="s">
        <x:v>169</x:v>
      </x:c>
      <x:c r="M67" s="1">
        <x:v>8.6</x:v>
      </x:c>
      <x:c r="N67" s="1">
        <x:v>3.6</x:v>
      </x:c>
    </x:row>
    <x:row r="68" ht="15.75" customHeight="1">
      <x:c r="A68" s="10" t="s">
        <x:v>170</x:v>
      </x:c>
      <x:c r="B68" s="10" t="s">
        <x:v>171</x:v>
      </x:c>
      <x:c r="C68" s="1" t="s">
        <x:v>18</x:v>
      </x:c>
      <x:c r="D68" s="1" t="s">
        <x:v>19</x:v>
      </x:c>
      <x:c r="E68" s="1" t="s">
        <x:v>172</x:v>
      </x:c>
      <x:c r="F68" s="1" t="s">
        <x:v>78</x:v>
      </x:c>
      <x:c r="G68" s="1" t="s">
        <x:v>79</x:v>
      </x:c>
      <x:c r="H68" s="1" t="s">
        <x:v>80</x:v>
      </x:c>
      <x:c r="I68" s="1">
        <x:v>10.0</x:v>
      </x:c>
      <x:c r="J68" s="1">
        <x:v>1.2</x:v>
      </x:c>
      <x:c r="K68" s="1" t="s">
        <x:v>37</x:v>
      </x:c>
      <x:c r="L68" s="1" t="s">
        <x:v>64</x:v>
      </x:c>
      <x:c r="M68" s="1">
        <x:v>0.0</x:v>
      </x:c>
      <x:c r="N68" s="1">
        <x:v>-10.0</x:v>
      </x:c>
      <x:c r="R68" s="1" t="s">
        <x:v>100</x:v>
      </x:c>
    </x:row>
    <x:row r="69" ht="15.75" customHeight="1">
      <x:c r="A69" s="10" t="s">
        <x:v>173</x:v>
      </x:c>
      <x:c r="B69" s="10" t="s">
        <x:v>162</x:v>
      </x:c>
      <x:c r="C69" s="1" t="s">
        <x:v>18</x:v>
      </x:c>
      <x:c r="D69" s="1" t="s">
        <x:v>19</x:v>
      </x:c>
      <x:c r="E69" s="1" t="s">
        <x:v>174</x:v>
      </x:c>
      <x:c r="F69" s="1" t="s">
        <x:v>21</x:v>
      </x:c>
      <x:c r="G69" s="1" t="s">
        <x:v>175</x:v>
      </x:c>
      <x:c r="H69" s="1" t="s">
        <x:v>23</x:v>
      </x:c>
      <x:c r="I69" s="1">
        <x:v>5.0</x:v>
      </x:c>
      <x:c r="J69" s="1">
        <x:v>1.35</x:v>
      </x:c>
      <x:c r="K69" s="1" t="s">
        <x:v>37</x:v>
      </x:c>
      <x:c r="L69" s="10" t="s">
        <x:v>41</x:v>
      </x:c>
      <x:c r="M69" s="1">
        <x:v>0.0</x:v>
      </x:c>
      <x:c r="N69" s="1">
        <x:v>-5.0</x:v>
      </x:c>
    </x:row>
    <x:row r="70" ht="15.75" customHeight="1">
      <x:c r="A70" s="10" t="s">
        <x:v>176</x:v>
      </x:c>
      <x:c r="B70" s="10" t="s">
        <x:v>177</x:v>
      </x:c>
      <x:c r="C70" s="1" t="s">
        <x:v>18</x:v>
      </x:c>
      <x:c r="D70" s="1" t="s">
        <x:v>19</x:v>
      </x:c>
      <x:c r="E70" s="1" t="s">
        <x:v>178</x:v>
      </x:c>
      <x:c r="F70" s="1" t="s">
        <x:v>78</x:v>
      </x:c>
      <x:c r="G70" s="1" t="s">
        <x:v>153</x:v>
      </x:c>
      <x:c r="H70" s="1" t="s">
        <x:v>80</x:v>
      </x:c>
      <x:c r="I70" s="1">
        <x:v>5.0</x:v>
      </x:c>
      <x:c r="J70" s="1">
        <x:v>2.0</x:v>
      </x:c>
      <x:c r="K70" s="1" t="s">
        <x:v>37</x:v>
      </x:c>
      <x:c r="L70" s="10" t="s">
        <x:v>146</x:v>
      </x:c>
      <x:c r="M70" s="1">
        <x:v>0.0</x:v>
      </x:c>
      <x:c r="N70" s="1">
        <x:v>-5.0</x:v>
      </x:c>
      <x:c r="R70" s="1" t="s">
        <x:v>100</x:v>
      </x:c>
    </x:row>
    <x:row r="71" ht="15.75" customHeight="1">
      <x:c r="A71" s="10" t="s">
        <x:v>179</x:v>
      </x:c>
      <x:c r="B71" s="10" t="s">
        <x:v>180</x:v>
      </x:c>
      <x:c r="C71" s="1" t="s">
        <x:v>18</x:v>
      </x:c>
      <x:c r="D71" s="1" t="s">
        <x:v>19</x:v>
      </x:c>
      <x:c r="E71" s="1" t="s">
        <x:v>181</x:v>
      </x:c>
      <x:c r="F71" s="1" t="s">
        <x:v>78</x:v>
      </x:c>
      <x:c r="G71" s="1" t="s">
        <x:v>79</x:v>
      </x:c>
      <x:c r="H71" s="1" t="s">
        <x:v>80</x:v>
      </x:c>
      <x:c r="I71" s="1">
        <x:v>5.0</x:v>
      </x:c>
      <x:c r="J71" s="1">
        <x:v>1.24</x:v>
      </x:c>
      <x:c r="K71" s="1" t="s">
        <x:v>37</x:v>
      </x:c>
      <x:c r="L71" s="1" t="s">
        <x:v>182</x:v>
      </x:c>
      <x:c r="M71" s="1">
        <x:v>0.0</x:v>
      </x:c>
      <x:c r="N71" s="1">
        <x:v>-5.0</x:v>
      </x:c>
      <x:c r="R71" s="1" t="s">
        <x:v>100</x:v>
      </x:c>
    </x:row>
    <x:row r="72" ht="15.75" customHeight="1">
      <x:c r="A72" s="10" t="s">
        <x:v>183</x:v>
      </x:c>
      <x:c r="B72" s="10" t="s">
        <x:v>184</x:v>
      </x:c>
      <x:c r="C72" s="1" t="s">
        <x:v>18</x:v>
      </x:c>
      <x:c r="D72" s="1" t="s">
        <x:v>19</x:v>
      </x:c>
      <x:c r="E72" s="1" t="s">
        <x:v>185</x:v>
      </x:c>
      <x:c r="F72" s="1" t="s">
        <x:v>186</x:v>
      </x:c>
      <x:c r="G72" s="1" t="s">
        <x:v>69</x:v>
      </x:c>
      <x:c r="H72" s="1" t="s">
        <x:v>23</x:v>
      </x:c>
      <x:c r="I72" s="1">
        <x:v>6.0</x:v>
      </x:c>
      <x:c r="J72" s="1">
        <x:v>1.2</x:v>
      </x:c>
      <x:c r="K72" s="1" t="s">
        <x:v>24</x:v>
      </x:c>
      <x:c r="L72" s="1" t="s">
        <x:v>187</x:v>
      </x:c>
      <x:c r="M72" s="1">
        <x:v>7.2</x:v>
      </x:c>
      <x:c r="N72" s="1">
        <x:v>1.2</x:v>
      </x:c>
    </x:row>
    <x:row r="73" ht="15.75" customHeight="1">
      <x:c r="A73" s="10" t="s">
        <x:v>188</x:v>
      </x:c>
      <x:c r="B73" s="10" t="s">
        <x:v>189</x:v>
      </x:c>
      <x:c r="C73" s="1" t="s">
        <x:v>18</x:v>
      </x:c>
      <x:c r="D73" s="1" t="s">
        <x:v>19</x:v>
      </x:c>
      <x:c r="E73" s="1" t="s">
        <x:v>190</x:v>
      </x:c>
      <x:c r="F73" s="1" t="s">
        <x:v>78</x:v>
      </x:c>
      <x:c r="G73" s="1" t="s">
        <x:v>153</x:v>
      </x:c>
      <x:c r="H73" s="1" t="s">
        <x:v>80</x:v>
      </x:c>
      <x:c r="I73" s="1">
        <x:v>10.0</x:v>
      </x:c>
      <x:c r="J73" s="1">
        <x:v>1.2</x:v>
      </x:c>
      <x:c r="K73" s="1" t="s">
        <x:v>24</x:v>
      </x:c>
      <x:c r="L73" s="1" t="s">
        <x:v>29</x:v>
      </x:c>
      <x:c r="M73" s="1">
        <x:v>12.0</x:v>
      </x:c>
      <x:c r="N73" s="1">
        <x:v>2.0</x:v>
      </x:c>
      <x:c r="R73" s="1" t="s">
        <x:v>100</x:v>
      </x:c>
    </x:row>
    <x:row r="74" ht="15.75" customHeight="1">
      <x:c r="A74" s="10" t="s">
        <x:v>191</x:v>
      </x:c>
      <x:c r="B74" s="10" t="s">
        <x:v>192</x:v>
      </x:c>
      <x:c r="C74" s="1" t="s">
        <x:v>18</x:v>
      </x:c>
      <x:c r="D74" s="1" t="s">
        <x:v>19</x:v>
      </x:c>
      <x:c r="E74" s="1" t="s">
        <x:v>193</x:v>
      </x:c>
      <x:c r="F74" s="1" t="s">
        <x:v>186</x:v>
      </x:c>
      <x:c r="G74" s="1" t="s">
        <x:v>194</x:v>
      </x:c>
      <x:c r="H74" s="1" t="s">
        <x:v>23</x:v>
      </x:c>
      <x:c r="I74" s="1">
        <x:v>5.0</x:v>
      </x:c>
      <x:c r="J74" s="1">
        <x:v>1.62</x:v>
      </x:c>
      <x:c r="K74" s="1" t="s">
        <x:v>24</x:v>
      </x:c>
      <x:c r="L74" s="10" t="s">
        <x:v>38</x:v>
      </x:c>
      <x:c r="M74" s="1">
        <x:v>8.1</x:v>
      </x:c>
      <x:c r="N74" s="1">
        <x:v>3.1</x:v>
      </x:c>
    </x:row>
    <x:row r="75" ht="15.75" customHeight="1">
      <x:c r="A75" s="10" t="s">
        <x:v>195</x:v>
      </x:c>
      <x:c r="B75" s="10" t="s">
        <x:v>196</x:v>
      </x:c>
      <x:c r="C75" s="1" t="s">
        <x:v>18</x:v>
      </x:c>
      <x:c r="D75" s="1" t="s">
        <x:v>19</x:v>
      </x:c>
      <x:c r="E75" s="1" t="s">
        <x:v>197</x:v>
      </x:c>
      <x:c r="F75" s="1" t="s">
        <x:v>186</x:v>
      </x:c>
      <x:c r="G75" s="1" t="s">
        <x:v>22</x:v>
      </x:c>
      <x:c r="H75" s="1" t="s">
        <x:v>23</x:v>
      </x:c>
      <x:c r="I75" s="1">
        <x:v>10.0</x:v>
      </x:c>
      <x:c r="J75" s="1">
        <x:v>1.65</x:v>
      </x:c>
      <x:c r="K75" s="1" t="s">
        <x:v>82</x:v>
      </x:c>
      <x:c r="L75" s="1" t="s">
        <x:v>64</x:v>
      </x:c>
      <x:c r="M75" s="1">
        <x:v>10.03</x:v>
      </x:c>
      <x:c r="N75" s="1">
        <x:v>0.03</x:v>
      </x:c>
    </x:row>
    <x:row r="76" ht="15.75" customHeight="1">
      <x:c r="A76" s="10" t="s">
        <x:v>198</x:v>
      </x:c>
      <x:c r="B76" s="10" t="s">
        <x:v>199</x:v>
      </x:c>
      <x:c r="C76" s="1" t="s">
        <x:v>18</x:v>
      </x:c>
      <x:c r="D76" s="1" t="s">
        <x:v>19</x:v>
      </x:c>
      <x:c r="E76" s="1" t="s">
        <x:v>200</x:v>
      </x:c>
      <x:c r="F76" s="1" t="s">
        <x:v>21</x:v>
      </x:c>
      <x:c r="G76" s="1" t="s">
        <x:v>201</x:v>
      </x:c>
      <x:c r="H76" s="1" t="s">
        <x:v>23</x:v>
      </x:c>
      <x:c r="I76" s="1">
        <x:v>10.0</x:v>
      </x:c>
      <x:c r="J76" s="1">
        <x:v>1.34</x:v>
      </x:c>
      <x:c r="K76" s="1" t="s">
        <x:v>24</x:v>
      </x:c>
      <x:c r="L76" s="10" t="s">
        <x:v>58</x:v>
      </x:c>
      <x:c r="M76" s="1">
        <x:v>13.4</x:v>
      </x:c>
      <x:c r="N76" s="1">
        <x:v>3.4</x:v>
      </x:c>
    </x:row>
    <x:row r="77" ht="15.75" customHeight="1">
      <x:c r="A77" s="10" t="s">
        <x:v>202</x:v>
      </x:c>
      <x:c r="B77" s="10" t="s">
        <x:v>203</x:v>
      </x:c>
      <x:c r="C77" s="1" t="s">
        <x:v>18</x:v>
      </x:c>
      <x:c r="D77" s="1" t="s">
        <x:v>19</x:v>
      </x:c>
      <x:c r="E77" s="1" t="s">
        <x:v>204</x:v>
      </x:c>
      <x:c r="F77" s="1" t="s">
        <x:v>186</x:v>
      </x:c>
      <x:c r="G77" s="1" t="s">
        <x:v>205</x:v>
      </x:c>
      <x:c r="H77" s="1" t="s">
        <x:v>23</x:v>
      </x:c>
      <x:c r="I77" s="1">
        <x:v>5.0</x:v>
      </x:c>
      <x:c r="J77" s="1">
        <x:v>1.6</x:v>
      </x:c>
      <x:c r="K77" s="1" t="s">
        <x:v>82</x:v>
      </x:c>
      <x:c r="L77" s="1" t="s">
        <x:v>29</x:v>
      </x:c>
      <x:c r="M77" s="1">
        <x:v>4.52</x:v>
      </x:c>
      <x:c r="N77" s="1">
        <x:v>-0.48</x:v>
      </x:c>
    </x:row>
    <x:row r="78" ht="15.75" customHeight="1">
      <x:c r="A78" s="10" t="s">
        <x:v>206</x:v>
      </x:c>
      <x:c r="B78" s="10" t="s">
        <x:v>207</x:v>
      </x:c>
      <x:c r="C78" s="1" t="s">
        <x:v>18</x:v>
      </x:c>
      <x:c r="D78" s="1" t="s">
        <x:v>19</x:v>
      </x:c>
      <x:c r="E78" s="1" t="s">
        <x:v>208</x:v>
      </x:c>
      <x:c r="F78" s="1" t="s">
        <x:v>78</x:v>
      </x:c>
      <x:c r="G78" s="1" t="s">
        <x:v>209</x:v>
      </x:c>
      <x:c r="H78" s="1" t="s">
        <x:v>80</x:v>
      </x:c>
      <x:c r="I78" s="1">
        <x:v>10.0</x:v>
      </x:c>
      <x:c r="J78" s="1">
        <x:v>1.35</x:v>
      </x:c>
      <x:c r="K78" s="1" t="s">
        <x:v>37</x:v>
      </x:c>
      <x:c r="L78" s="10" t="s">
        <x:v>210</x:v>
      </x:c>
      <x:c r="M78" s="1">
        <x:v>0.0</x:v>
      </x:c>
      <x:c r="N78" s="1">
        <x:v>-10.0</x:v>
      </x:c>
      <x:c r="R78" s="1" t="s">
        <x:v>100</x:v>
      </x:c>
    </x:row>
    <x:row r="79" ht="15.75" customHeight="1">
      <x:c r="A79" s="10" t="s">
        <x:v>211</x:v>
      </x:c>
      <x:c r="B79" s="10" t="s">
        <x:v>212</x:v>
      </x:c>
      <x:c r="C79" s="1" t="s">
        <x:v>18</x:v>
      </x:c>
      <x:c r="D79" s="1" t="s">
        <x:v>19</x:v>
      </x:c>
      <x:c r="E79" s="1" t="s">
        <x:v>213</x:v>
      </x:c>
      <x:c r="F79" s="1" t="s">
        <x:v>78</x:v>
      </x:c>
      <x:c r="G79" s="1" t="s">
        <x:v>214</x:v>
      </x:c>
      <x:c r="H79" s="1" t="s">
        <x:v>80</x:v>
      </x:c>
      <x:c r="I79" s="1">
        <x:v>10.0</x:v>
      </x:c>
      <x:c r="J79" s="1">
        <x:v>1.31</x:v>
      </x:c>
      <x:c r="K79" s="1" t="s">
        <x:v>24</x:v>
      </x:c>
      <x:c r="L79" s="1" t="s">
        <x:v>32</x:v>
      </x:c>
      <x:c r="M79" s="1">
        <x:v>13.1</x:v>
      </x:c>
      <x:c r="N79" s="1">
        <x:v>3.1</x:v>
      </x:c>
      <x:c r="R79" s="1" t="s">
        <x:v>100</x:v>
      </x:c>
    </x:row>
    <x:row r="80" ht="15.75" customHeight="1">
      <x:c r="A80" s="10" t="s">
        <x:v>215</x:v>
      </x:c>
      <x:c r="B80" s="10" t="s">
        <x:v>216</x:v>
      </x:c>
      <x:c r="C80" s="1" t="s">
        <x:v>18</x:v>
      </x:c>
      <x:c r="D80" s="1" t="s">
        <x:v>19</x:v>
      </x:c>
      <x:c r="E80" s="1" t="s">
        <x:v>204</x:v>
      </x:c>
      <x:c r="F80" s="1" t="s">
        <x:v>186</x:v>
      </x:c>
      <x:c r="G80" s="1" t="s">
        <x:v>205</x:v>
      </x:c>
      <x:c r="H80" s="1" t="s">
        <x:v>23</x:v>
      </x:c>
      <x:c r="I80" s="1">
        <x:v>20.0</x:v>
      </x:c>
      <x:c r="J80" s="1">
        <x:v>1.65</x:v>
      </x:c>
      <x:c r="K80" s="1" t="s">
        <x:v>24</x:v>
      </x:c>
      <x:c r="L80" s="1" t="s">
        <x:v>29</x:v>
      </x:c>
      <x:c r="M80" s="1">
        <x:v>33.0</x:v>
      </x:c>
      <x:c r="N80" s="1">
        <x:v>13.0</x:v>
      </x:c>
    </x:row>
    <x:row r="81" ht="15.75" customHeight="1">
      <x:c r="A81" s="10" t="s">
        <x:v>217</x:v>
      </x:c>
      <x:c r="B81" s="10" t="s">
        <x:v>216</x:v>
      </x:c>
      <x:c r="C81" s="1" t="s">
        <x:v>18</x:v>
      </x:c>
      <x:c r="D81" s="1" t="s">
        <x:v>19</x:v>
      </x:c>
      <x:c r="E81" s="1" t="s">
        <x:v>197</x:v>
      </x:c>
      <x:c r="F81" s="1" t="s">
        <x:v>186</x:v>
      </x:c>
      <x:c r="G81" s="1" t="s">
        <x:v>22</x:v>
      </x:c>
      <x:c r="H81" s="1" t="s">
        <x:v>23</x:v>
      </x:c>
      <x:c r="I81" s="1">
        <x:v>20.0</x:v>
      </x:c>
      <x:c r="J81" s="1">
        <x:v>1.55</x:v>
      </x:c>
      <x:c r="K81" s="1" t="s">
        <x:v>24</x:v>
      </x:c>
      <x:c r="L81" s="1" t="s">
        <x:v>64</x:v>
      </x:c>
      <x:c r="M81" s="1">
        <x:v>31.0</x:v>
      </x:c>
      <x:c r="N81" s="1">
        <x:v>11.0</x:v>
      </x:c>
    </x:row>
    <x:row r="82" ht="15.75" customHeight="1">
      <x:c r="A82" s="10" t="s">
        <x:v>218</x:v>
      </x:c>
      <x:c r="B82" s="10" t="s">
        <x:v>219</x:v>
      </x:c>
      <x:c r="C82" s="1" t="s">
        <x:v>18</x:v>
      </x:c>
      <x:c r="D82" s="1" t="s">
        <x:v>19</x:v>
      </x:c>
      <x:c r="E82" s="1" t="s">
        <x:v>197</x:v>
      </x:c>
      <x:c r="F82" s="1" t="s">
        <x:v>220</x:v>
      </x:c>
      <x:c r="G82" s="1" t="s">
        <x:v>221</x:v>
      </x:c>
      <x:c r="H82" s="1" t="s">
        <x:v>80</x:v>
      </x:c>
      <x:c r="I82" s="1">
        <x:v>12.0</x:v>
      </x:c>
      <x:c r="J82" s="1">
        <x:v>1.91</x:v>
      </x:c>
      <x:c r="K82" s="1" t="s">
        <x:v>24</x:v>
      </x:c>
      <x:c r="L82" s="1" t="s">
        <x:v>64</x:v>
      </x:c>
      <x:c r="M82" s="1">
        <x:v>22.92</x:v>
      </x:c>
      <x:c r="N82" s="1">
        <x:v>10.92</x:v>
      </x:c>
      <x:c r="R82" s="1" t="s">
        <x:v>100</x:v>
      </x:c>
    </x:row>
    <x:row r="83" ht="15.75" customHeight="1">
      <x:c r="A83" s="10" t="s">
        <x:v>222</x:v>
      </x:c>
      <x:c r="B83" s="10" t="s">
        <x:v>223</x:v>
      </x:c>
      <x:c r="C83" s="1" t="s">
        <x:v>18</x:v>
      </x:c>
      <x:c r="D83" s="1" t="s">
        <x:v>19</x:v>
      </x:c>
      <x:c r="E83" s="1" t="s">
        <x:v>204</x:v>
      </x:c>
      <x:c r="F83" s="1" t="s">
        <x:v>78</x:v>
      </x:c>
      <x:c r="G83" s="1" t="s">
        <x:v>79</x:v>
      </x:c>
      <x:c r="H83" s="1" t="s">
        <x:v>80</x:v>
      </x:c>
      <x:c r="I83" s="1">
        <x:v>5.0</x:v>
      </x:c>
      <x:c r="J83" s="1">
        <x:v>1.62</x:v>
      </x:c>
      <x:c r="K83" s="1" t="s">
        <x:v>24</x:v>
      </x:c>
      <x:c r="L83" s="1" t="s">
        <x:v>29</x:v>
      </x:c>
      <x:c r="M83" s="1">
        <x:v>8.1</x:v>
      </x:c>
      <x:c r="N83" s="1">
        <x:v>3.1</x:v>
      </x:c>
      <x:c r="R83" s="1" t="s">
        <x:v>100</x:v>
      </x:c>
    </x:row>
    <x:row r="84" ht="15.75" customHeight="1">
      <x:c r="A84" s="10" t="s">
        <x:v>224</x:v>
      </x:c>
      <x:c r="B84" s="10" t="s">
        <x:v>184</x:v>
      </x:c>
      <x:c r="C84" s="1" t="s">
        <x:v>18</x:v>
      </x:c>
      <x:c r="D84" s="1" t="s">
        <x:v>19</x:v>
      </x:c>
      <x:c r="E84" s="1" t="s">
        <x:v>225</x:v>
      </x:c>
      <x:c r="F84" s="1" t="s">
        <x:v>186</x:v>
      </x:c>
      <x:c r="G84" s="1" t="s">
        <x:v>226</x:v>
      </x:c>
      <x:c r="H84" s="1" t="s">
        <x:v>23</x:v>
      </x:c>
      <x:c r="I84" s="1">
        <x:v>5.0</x:v>
      </x:c>
      <x:c r="J84" s="1">
        <x:v>1.34</x:v>
      </x:c>
      <x:c r="K84" s="1" t="s">
        <x:v>37</x:v>
      </x:c>
      <x:c r="L84" s="10" t="s">
        <x:v>44</x:v>
      </x:c>
      <x:c r="M84" s="1">
        <x:v>0.0</x:v>
      </x:c>
      <x:c r="N84" s="1">
        <x:v>-5.0</x:v>
      </x:c>
    </x:row>
    <x:row r="85" ht="15.75" customHeight="1">
      <x:c r="A85" s="10" t="s">
        <x:v>227</x:v>
      </x:c>
      <x:c r="B85" s="10" t="s">
        <x:v>228</x:v>
      </x:c>
      <x:c r="C85" s="1" t="s">
        <x:v>18</x:v>
      </x:c>
      <x:c r="D85" s="1" t="s">
        <x:v>19</x:v>
      </x:c>
      <x:c r="E85" s="1" t="s">
        <x:v>229</x:v>
      </x:c>
      <x:c r="F85" s="1" t="s">
        <x:v>186</x:v>
      </x:c>
      <x:c r="G85" s="1" t="s">
        <x:v>230</x:v>
      </x:c>
      <x:c r="H85" s="1" t="s">
        <x:v>23</x:v>
      </x:c>
      <x:c r="I85" s="1">
        <x:v>2.14</x:v>
      </x:c>
      <x:c r="J85" s="1">
        <x:v>1.85</x:v>
      </x:c>
      <x:c r="K85" s="1" t="s">
        <x:v>37</x:v>
      </x:c>
      <x:c r="L85" s="1" t="s">
        <x:v>35</x:v>
      </x:c>
      <x:c r="M85" s="1">
        <x:v>0.0</x:v>
      </x:c>
      <x:c r="N85" s="1">
        <x:v>-2.14</x:v>
      </x:c>
      <x:c r="O85" s="1">
        <x:v>-1.0</x:v>
      </x:c>
      <x:c r="P85" s="1" t="s">
        <x:v>61</x:v>
      </x:c>
      <x:c r="Q85" s="1" t="s">
        <x:v>231</x:v>
      </x:c>
    </x:row>
    <x:row r="86" ht="15.75" customHeight="1">
      <x:c r="A86" s="10" t="s">
        <x:v>232</x:v>
      </x:c>
      <x:c r="B86" s="10" t="s">
        <x:v>233</x:v>
      </x:c>
      <x:c r="C86" s="1" t="s">
        <x:v>18</x:v>
      </x:c>
      <x:c r="D86" s="1" t="s">
        <x:v>19</x:v>
      </x:c>
      <x:c r="E86" s="1" t="s">
        <x:v>229</x:v>
      </x:c>
      <x:c r="F86" s="1" t="s">
        <x:v>234</x:v>
      </x:c>
      <x:c r="G86" s="1" t="s">
        <x:v>26</x:v>
      </x:c>
      <x:c r="H86" s="1" t="s">
        <x:v>235</x:v>
      </x:c>
      <x:c r="I86" s="1">
        <x:v>10.0</x:v>
      </x:c>
      <x:c r="J86" s="1">
        <x:v>1.67</x:v>
      </x:c>
      <x:c r="K86" s="1" t="s">
        <x:v>24</x:v>
      </x:c>
      <x:c r="L86" s="1" t="s">
        <x:v>35</x:v>
      </x:c>
      <x:c r="M86" s="1">
        <x:v>16.7</x:v>
      </x:c>
      <x:c r="N86" s="1">
        <x:v>6.7</x:v>
      </x:c>
      <x:c r="O86" s="1">
        <x:v>0.67</x:v>
      </x:c>
      <x:c r="P86" s="1" t="s">
        <x:v>26</x:v>
      </x:c>
      <x:c r="Q86" s="1" t="s">
        <x:v>70</x:v>
      </x:c>
    </x:row>
    <x:row r="87" ht="15.75" customHeight="1">
      <x:c r="A87" s="10" t="s">
        <x:v>236</x:v>
      </x:c>
      <x:c r="B87" s="10" t="s">
        <x:v>237</x:v>
      </x:c>
      <x:c r="C87" s="1" t="s">
        <x:v>18</x:v>
      </x:c>
      <x:c r="D87" s="1" t="s">
        <x:v>19</x:v>
      </x:c>
      <x:c r="E87" s="1" t="s">
        <x:v>229</x:v>
      </x:c>
      <x:c r="F87" s="1" t="s">
        <x:v>78</x:v>
      </x:c>
      <x:c r="G87" s="1" t="s">
        <x:v>79</x:v>
      </x:c>
      <x:c r="H87" s="1" t="s">
        <x:v>80</x:v>
      </x:c>
      <x:c r="I87" s="1">
        <x:v>10.0</x:v>
      </x:c>
      <x:c r="J87" s="1">
        <x:v>1.57</x:v>
      </x:c>
      <x:c r="K87" s="1" t="s">
        <x:v>24</x:v>
      </x:c>
      <x:c r="L87" s="1" t="s">
        <x:v>35</x:v>
      </x:c>
      <x:c r="M87" s="1">
        <x:v>15.7</x:v>
      </x:c>
      <x:c r="N87" s="1">
        <x:v>5.7</x:v>
      </x:c>
      <x:c r="O87" s="1">
        <x:v>0.57</x:v>
      </x:c>
      <x:c r="P87" s="1" t="s">
        <x:v>26</x:v>
      </x:c>
      <x:c r="Q87" s="1" t="s">
        <x:v>70</x:v>
      </x:c>
      <x:c r="R87" s="1" t="s">
        <x:v>70</x:v>
      </x:c>
    </x:row>
    <x:row r="88" ht="15.75" customHeight="1">
      <x:c r="A88" s="10" t="s">
        <x:v>238</x:v>
      </x:c>
      <x:c r="B88" s="10" t="s">
        <x:v>239</x:v>
      </x:c>
      <x:c r="C88" s="1" t="s">
        <x:v>18</x:v>
      </x:c>
      <x:c r="D88" s="1" t="s">
        <x:v>19</x:v>
      </x:c>
      <x:c r="E88" s="1" t="s">
        <x:v>240</x:v>
      </x:c>
      <x:c r="F88" s="1" t="s">
        <x:v>186</x:v>
      </x:c>
      <x:c r="G88" s="1" t="s">
        <x:v>241</x:v>
      </x:c>
      <x:c r="H88" s="1" t="s">
        <x:v>23</x:v>
      </x:c>
      <x:c r="I88" s="1">
        <x:v>10.0</x:v>
      </x:c>
      <x:c r="J88" s="1">
        <x:v>1.8</x:v>
      </x:c>
      <x:c r="K88" s="1" t="s">
        <x:v>24</x:v>
      </x:c>
      <x:c r="L88" s="10" t="s">
        <x:v>128</x:v>
      </x:c>
      <x:c r="M88" s="1">
        <x:v>18.0</x:v>
      </x:c>
      <x:c r="N88" s="1">
        <x:v>8.0</x:v>
      </x:c>
      <x:c r="O88" s="1">
        <x:v>0.8</x:v>
      </x:c>
      <x:c r="P88" s="1" t="s">
        <x:v>61</x:v>
      </x:c>
      <x:c r="Q88" s="1" t="s">
        <x:v>70</x:v>
      </x:c>
    </x:row>
    <x:row r="89" ht="15.75" customHeight="1">
      <x:c r="A89" s="10" t="s">
        <x:v>242</x:v>
      </x:c>
      <x:c r="B89" s="10" t="s">
        <x:v>243</x:v>
      </x:c>
      <x:c r="C89" s="1" t="s">
        <x:v>18</x:v>
      </x:c>
      <x:c r="D89" s="1" t="s">
        <x:v>19</x:v>
      </x:c>
      <x:c r="E89" s="1" t="s">
        <x:v>244</x:v>
      </x:c>
      <x:c r="F89" s="1" t="s">
        <x:v>21</x:v>
      </x:c>
      <x:c r="G89" s="1" t="s">
        <x:v>34</x:v>
      </x:c>
      <x:c r="H89" s="1" t="s">
        <x:v>34</x:v>
      </x:c>
      <x:c r="I89" s="1">
        <x:v>10.0</x:v>
      </x:c>
      <x:c r="J89" s="1">
        <x:v>2.85</x:v>
      </x:c>
      <x:c r="K89" s="1" t="s">
        <x:v>24</x:v>
      </x:c>
      <x:c r="L89" s="10" t="s">
        <x:v>44</x:v>
      </x:c>
      <x:c r="M89" s="1">
        <x:v>28.5</x:v>
      </x:c>
      <x:c r="N89" s="1">
        <x:v>18.5</x:v>
      </x:c>
      <x:c r="O89" s="1">
        <x:v>1.85</x:v>
      </x:c>
      <x:c r="P89" s="1" t="s">
        <x:v>26</x:v>
      </x:c>
      <x:c r="Q89" s="1" t="s">
        <x:v>70</x:v>
      </x:c>
    </x:row>
    <x:row r="90" ht="15.75" customHeight="1">
      <x:c r="A90" s="10" t="s">
        <x:v>245</x:v>
      </x:c>
      <x:c r="B90" s="10" t="s">
        <x:v>243</x:v>
      </x:c>
      <x:c r="C90" s="1" t="s">
        <x:v>18</x:v>
      </x:c>
      <x:c r="D90" s="1" t="s">
        <x:v>19</x:v>
      </x:c>
      <x:c r="E90" s="1" t="s">
        <x:v>246</x:v>
      </x:c>
      <x:c r="F90" s="1" t="s">
        <x:v>21</x:v>
      </x:c>
      <x:c r="G90" s="1" t="s">
        <x:v>247</x:v>
      </x:c>
      <x:c r="H90" s="1" t="s">
        <x:v>23</x:v>
      </x:c>
      <x:c r="I90" s="1">
        <x:v>10.0</x:v>
      </x:c>
      <x:c r="J90" s="1">
        <x:v>1.72</x:v>
      </x:c>
      <x:c r="K90" s="1" t="s">
        <x:v>37</x:v>
      </x:c>
      <x:c r="L90" s="10" t="s">
        <x:v>44</x:v>
      </x:c>
      <x:c r="M90" s="1">
        <x:v>0.0</x:v>
      </x:c>
      <x:c r="N90" s="1">
        <x:v>-10.0</x:v>
      </x:c>
      <x:c r="O90" s="1">
        <x:v>-1.0</x:v>
      </x:c>
      <x:c r="P90" s="1" t="s">
        <x:v>26</x:v>
      </x:c>
      <x:c r="Q90" s="1" t="s">
        <x:v>70</x:v>
      </x:c>
    </x:row>
    <x:row r="91" ht="15.75" customHeight="1">
      <x:c r="A91" s="10" t="s">
        <x:v>248</x:v>
      </x:c>
      <x:c r="B91" s="10" t="s">
        <x:v>249</x:v>
      </x:c>
      <x:c r="C91" s="1" t="s">
        <x:v>18</x:v>
      </x:c>
      <x:c r="D91" s="1" t="s">
        <x:v>19</x:v>
      </x:c>
      <x:c r="E91" s="1" t="s">
        <x:v>250</x:v>
      </x:c>
      <x:c r="F91" s="1" t="s">
        <x:v>251</x:v>
      </x:c>
      <x:c r="G91" s="1" t="s">
        <x:v>252</x:v>
      </x:c>
      <x:c r="H91" s="1" t="s">
        <x:v>23</x:v>
      </x:c>
      <x:c r="I91" s="1">
        <x:v>10.0</x:v>
      </x:c>
      <x:c r="J91" s="1">
        <x:v>2.5</x:v>
      </x:c>
      <x:c r="K91" s="1" t="s">
        <x:v>24</x:v>
      </x:c>
      <x:c r="L91" s="1" t="s">
        <x:v>253</x:v>
      </x:c>
      <x:c r="M91" s="1">
        <x:v>25.0</x:v>
      </x:c>
      <x:c r="N91" s="1">
        <x:v>15.0</x:v>
      </x:c>
      <x:c r="O91" s="1">
        <x:v>1.5</x:v>
      </x:c>
      <x:c r="P91" s="1" t="s">
        <x:v>26</x:v>
      </x:c>
      <x:c r="Q91" s="1" t="s">
        <x:v>254</x:v>
      </x:c>
    </x:row>
    <x:row r="92" ht="15.75" customHeight="1">
      <x:c r="A92" s="10" t="s">
        <x:v>255</x:v>
      </x:c>
      <x:c r="B92" s="10" t="s">
        <x:v>256</x:v>
      </x:c>
      <x:c r="C92" s="1" t="s">
        <x:v>18</x:v>
      </x:c>
      <x:c r="D92" s="1" t="s">
        <x:v>19</x:v>
      </x:c>
      <x:c r="E92" s="1" t="s">
        <x:v>257</x:v>
      </x:c>
      <x:c r="F92" s="1" t="s">
        <x:v>78</x:v>
      </x:c>
      <x:c r="G92" s="1" t="s">
        <x:v>79</x:v>
      </x:c>
      <x:c r="H92" s="1" t="s">
        <x:v>80</x:v>
      </x:c>
      <x:c r="I92" s="1">
        <x:v>10.0</x:v>
      </x:c>
      <x:c r="J92" s="1">
        <x:v>1.13</x:v>
      </x:c>
      <x:c r="K92" s="1" t="s">
        <x:v>37</x:v>
      </x:c>
      <x:c r="L92" s="1" t="s">
        <x:v>64</x:v>
      </x:c>
      <x:c r="M92" s="1">
        <x:v>0.0</x:v>
      </x:c>
      <x:c r="N92" s="1">
        <x:v>-10.0</x:v>
      </x:c>
      <x:c r="O92" s="1">
        <x:v>-1.0</x:v>
      </x:c>
      <x:c r="P92" s="1" t="s">
        <x:v>26</x:v>
      </x:c>
      <x:c r="Q92" s="1" t="s">
        <x:v>70</x:v>
      </x:c>
      <x:c r="R92" s="1" t="s">
        <x:v>70</x:v>
      </x:c>
    </x:row>
    <x:row r="93" ht="15.75" customHeight="1">
      <x:c r="A93" s="10" t="s">
        <x:v>258</x:v>
      </x:c>
      <x:c r="B93" s="10" t="s">
        <x:v>259</x:v>
      </x:c>
      <x:c r="C93" s="1" t="s">
        <x:v>18</x:v>
      </x:c>
      <x:c r="D93" s="1" t="s">
        <x:v>19</x:v>
      </x:c>
      <x:c r="E93" s="1" t="s">
        <x:v>260</x:v>
      </x:c>
      <x:c r="F93" s="1" t="s">
        <x:v>78</x:v>
      </x:c>
      <x:c r="G93" s="1" t="s">
        <x:v>261</x:v>
      </x:c>
      <x:c r="H93" s="1" t="s">
        <x:v>104</x:v>
      </x:c>
      <x:c r="I93" s="1">
        <x:v>10.0</x:v>
      </x:c>
      <x:c r="J93" s="1">
        <x:v>1.83</x:v>
      </x:c>
      <x:c r="K93" s="1" t="s">
        <x:v>24</x:v>
      </x:c>
      <x:c r="L93" s="1" t="s">
        <x:v>262</x:v>
      </x:c>
      <x:c r="M93" s="1">
        <x:v>18.3</x:v>
      </x:c>
      <x:c r="N93" s="1">
        <x:v>8.3</x:v>
      </x:c>
      <x:c r="O93" s="1">
        <x:v>0.83</x:v>
      </x:c>
      <x:c r="P93" s="1" t="s">
        <x:v>26</x:v>
      </x:c>
      <x:c r="Q93" s="1" t="s">
        <x:v>70</x:v>
      </x:c>
    </x:row>
    <x:row r="94" ht="15.75" customHeight="1">
      <x:c r="A94" s="10" t="s">
        <x:v>263</x:v>
      </x:c>
      <x:c r="B94" s="10" t="s">
        <x:v>264</x:v>
      </x:c>
      <x:c r="C94" s="1" t="s">
        <x:v>18</x:v>
      </x:c>
      <x:c r="D94" s="1" t="s">
        <x:v>19</x:v>
      </x:c>
      <x:c r="E94" s="1" t="s">
        <x:v>265</x:v>
      </x:c>
      <x:c r="F94" s="1" t="s">
        <x:v>78</x:v>
      </x:c>
      <x:c r="G94" s="1" t="s">
        <x:v>209</x:v>
      </x:c>
      <x:c r="H94" s="1" t="s">
        <x:v>80</x:v>
      </x:c>
      <x:c r="I94" s="1">
        <x:v>5.0</x:v>
      </x:c>
      <x:c r="J94" s="1">
        <x:v>1.37</x:v>
      </x:c>
      <x:c r="K94" s="1" t="s">
        <x:v>24</x:v>
      </x:c>
      <x:c r="L94" s="10" t="s">
        <x:v>92</x:v>
      </x:c>
      <x:c r="M94" s="1">
        <x:v>6.85</x:v>
      </x:c>
      <x:c r="N94" s="1">
        <x:v>1.85</x:v>
      </x:c>
      <x:c r="O94" s="1">
        <x:v>0.37</x:v>
      </x:c>
      <x:c r="P94" s="1" t="s">
        <x:v>26</x:v>
      </x:c>
      <x:c r="Q94" s="1" t="s">
        <x:v>100</x:v>
      </x:c>
      <x:c r="R94" s="1" t="s">
        <x:v>100</x:v>
      </x:c>
    </x:row>
    <x:row r="95" ht="15.75" customHeight="1">
      <x:c r="A95" s="10" t="s">
        <x:v>266</x:v>
      </x:c>
      <x:c r="B95" s="10" t="s">
        <x:v>267</x:v>
      </x:c>
      <x:c r="C95" s="1" t="s">
        <x:v>18</x:v>
      </x:c>
      <x:c r="D95" s="1" t="s">
        <x:v>19</x:v>
      </x:c>
      <x:c r="E95" s="1" t="s">
        <x:v>268</x:v>
      </x:c>
      <x:c r="F95" s="1" t="s">
        <x:v>78</x:v>
      </x:c>
      <x:c r="G95" s="1" t="s">
        <x:v>153</x:v>
      </x:c>
      <x:c r="H95" s="1" t="s">
        <x:v>80</x:v>
      </x:c>
      <x:c r="I95" s="1">
        <x:v>10.0</x:v>
      </x:c>
      <x:c r="J95" s="1">
        <x:v>1.62</x:v>
      </x:c>
      <x:c r="K95" s="1" t="s">
        <x:v>37</x:v>
      </x:c>
      <x:c r="L95" s="10" t="s">
        <x:v>92</x:v>
      </x:c>
      <x:c r="M95" s="1">
        <x:v>0.0</x:v>
      </x:c>
      <x:c r="N95" s="1">
        <x:v>-10.0</x:v>
      </x:c>
      <x:c r="O95" s="1">
        <x:v>-1.0</x:v>
      </x:c>
      <x:c r="P95" s="1" t="s">
        <x:v>26</x:v>
      </x:c>
      <x:c r="Q95" s="1" t="s">
        <x:v>100</x:v>
      </x:c>
      <x:c r="R95" s="1" t="s">
        <x:v>100</x:v>
      </x:c>
    </x:row>
    <x:row r="96" ht="15.75" customHeight="1">
      <x:c r="A96" s="10" t="s">
        <x:v>269</x:v>
      </x:c>
      <x:c r="B96" s="10" t="s">
        <x:v>270</x:v>
      </x:c>
      <x:c r="C96" s="1" t="s">
        <x:v>18</x:v>
      </x:c>
      <x:c r="D96" s="1" t="s">
        <x:v>19</x:v>
      </x:c>
      <x:c r="E96" s="1" t="s">
        <x:v>268</x:v>
      </x:c>
      <x:c r="F96" s="1" t="s">
        <x:v>78</x:v>
      </x:c>
      <x:c r="G96" s="1" t="s">
        <x:v>214</x:v>
      </x:c>
      <x:c r="H96" s="1" t="s">
        <x:v>80</x:v>
      </x:c>
      <x:c r="I96" s="1">
        <x:v>10.0</x:v>
      </x:c>
      <x:c r="J96" s="1">
        <x:v>1.17</x:v>
      </x:c>
      <x:c r="K96" s="1" t="s">
        <x:v>82</x:v>
      </x:c>
      <x:c r="L96" s="10" t="s">
        <x:v>92</x:v>
      </x:c>
      <x:c r="M96" s="1">
        <x:v>9.44</x:v>
      </x:c>
      <x:c r="N96" s="1">
        <x:v>-0.56</x:v>
      </x:c>
      <x:c r="O96" s="1">
        <x:v>-0.056</x:v>
      </x:c>
      <x:c r="P96" s="1" t="s">
        <x:v>26</x:v>
      </x:c>
      <x:c r="Q96" s="1" t="s">
        <x:v>271</x:v>
      </x:c>
      <x:c r="R96" s="1" t="s">
        <x:v>100</x:v>
      </x:c>
    </x:row>
    <x:row r="97" ht="15.75" customHeight="1">
      <x:c r="A97" s="10" t="s">
        <x:v>272</x:v>
      </x:c>
      <x:c r="B97" s="10" t="s">
        <x:v>273</x:v>
      </x:c>
      <x:c r="C97" s="1" t="s">
        <x:v>18</x:v>
      </x:c>
      <x:c r="D97" s="1" t="s">
        <x:v>19</x:v>
      </x:c>
      <x:c r="E97" s="1" t="s">
        <x:v>265</x:v>
      </x:c>
      <x:c r="F97" s="1" t="s">
        <x:v>78</x:v>
      </x:c>
      <x:c r="G97" s="1" t="s">
        <x:v>214</x:v>
      </x:c>
      <x:c r="H97" s="1" t="s">
        <x:v>80</x:v>
      </x:c>
      <x:c r="I97" s="1">
        <x:v>10.0</x:v>
      </x:c>
      <x:c r="J97" s="1">
        <x:v>1.26</x:v>
      </x:c>
      <x:c r="K97" s="1" t="s">
        <x:v>37</x:v>
      </x:c>
      <x:c r="L97" s="10" t="s">
        <x:v>92</x:v>
      </x:c>
      <x:c r="M97" s="1">
        <x:v>0.0</x:v>
      </x:c>
      <x:c r="N97" s="1">
        <x:v>-10.0</x:v>
      </x:c>
      <x:c r="O97" s="1">
        <x:v>-1.0</x:v>
      </x:c>
      <x:c r="P97" s="1" t="s">
        <x:v>26</x:v>
      </x:c>
      <x:c r="Q97" s="1" t="s">
        <x:v>100</x:v>
      </x:c>
      <x:c r="R97" s="1" t="s">
        <x:v>100</x:v>
      </x:c>
    </x:row>
    <x:row r="98" ht="15.75" customHeight="1">
      <x:c r="A98" s="10" t="s">
        <x:v>274</x:v>
      </x:c>
      <x:c r="B98" s="10" t="s">
        <x:v>275</x:v>
      </x:c>
      <x:c r="C98" s="1" t="s">
        <x:v>18</x:v>
      </x:c>
      <x:c r="D98" s="1" t="s">
        <x:v>19</x:v>
      </x:c>
      <x:c r="E98" s="1" t="s">
        <x:v>276</x:v>
      </x:c>
      <x:c r="F98" s="1" t="s">
        <x:v>78</x:v>
      </x:c>
      <x:c r="G98" s="1" t="s">
        <x:v>153</x:v>
      </x:c>
      <x:c r="H98" s="1" t="s">
        <x:v>80</x:v>
      </x:c>
      <x:c r="I98" s="1">
        <x:v>10.0</x:v>
      </x:c>
      <x:c r="J98" s="1">
        <x:v>1.28</x:v>
      </x:c>
      <x:c r="K98" s="1" t="s">
        <x:v>24</x:v>
      </x:c>
      <x:c r="L98" s="1" t="s">
        <x:v>35</x:v>
      </x:c>
      <x:c r="M98" s="1">
        <x:v>12.8</x:v>
      </x:c>
      <x:c r="N98" s="1">
        <x:v>2.8</x:v>
      </x:c>
      <x:c r="O98" s="1">
        <x:v>0.28</x:v>
      </x:c>
      <x:c r="P98" s="1" t="s">
        <x:v>26</x:v>
      </x:c>
      <x:c r="Q98" s="1" t="s">
        <x:v>70</x:v>
      </x:c>
      <x:c r="R98" s="1" t="s">
        <x:v>70</x:v>
      </x:c>
    </x:row>
    <x:row r="99" ht="15.75" customHeight="1">
      <x:c r="A99" s="10" t="s">
        <x:v>277</x:v>
      </x:c>
      <x:c r="B99" s="10" t="s">
        <x:v>278</x:v>
      </x:c>
      <x:c r="C99" s="1" t="s">
        <x:v>18</x:v>
      </x:c>
      <x:c r="D99" s="1" t="s">
        <x:v>19</x:v>
      </x:c>
      <x:c r="E99" s="1" t="s">
        <x:v>257</x:v>
      </x:c>
      <x:c r="F99" s="1" t="s">
        <x:v>78</x:v>
      </x:c>
      <x:c r="G99" s="1" t="s">
        <x:v>214</x:v>
      </x:c>
      <x:c r="H99" s="1" t="s">
        <x:v>80</x:v>
      </x:c>
      <x:c r="I99" s="1">
        <x:v>5.0</x:v>
      </x:c>
      <x:c r="J99" s="1">
        <x:v>1.36</x:v>
      </x:c>
      <x:c r="K99" s="1" t="s">
        <x:v>24</x:v>
      </x:c>
      <x:c r="L99" s="1" t="s">
        <x:v>64</x:v>
      </x:c>
      <x:c r="M99" s="1">
        <x:v>6.8</x:v>
      </x:c>
      <x:c r="N99" s="1">
        <x:v>1.8</x:v>
      </x:c>
      <x:c r="O99" s="1">
        <x:v>0.36</x:v>
      </x:c>
      <x:c r="P99" s="1" t="s">
        <x:v>26</x:v>
      </x:c>
      <x:c r="Q99" s="1" t="s">
        <x:v>70</x:v>
      </x:c>
      <x:c r="R99" s="1" t="s">
        <x:v>70</x:v>
      </x:c>
    </x:row>
    <x:row r="100" ht="15.75" customHeight="1">
      <x:c r="A100" s="10" t="s">
        <x:v>279</x:v>
      </x:c>
      <x:c r="B100" s="10" t="s">
        <x:v>278</x:v>
      </x:c>
      <x:c r="C100" s="1" t="s">
        <x:v>18</x:v>
      </x:c>
      <x:c r="D100" s="1" t="s">
        <x:v>19</x:v>
      </x:c>
      <x:c r="E100" s="1" t="s">
        <x:v>280</x:v>
      </x:c>
      <x:c r="F100" s="1" t="s">
        <x:v>78</x:v>
      </x:c>
      <x:c r="G100" s="1" t="s">
        <x:v>153</x:v>
      </x:c>
      <x:c r="H100" s="1" t="s">
        <x:v>80</x:v>
      </x:c>
      <x:c r="I100" s="1">
        <x:v>5.0</x:v>
      </x:c>
      <x:c r="J100" s="1">
        <x:v>1.24</x:v>
      </x:c>
      <x:c r="K100" s="1" t="s">
        <x:v>24</x:v>
      </x:c>
      <x:c r="L100" s="10" t="s">
        <x:v>58</x:v>
      </x:c>
      <x:c r="M100" s="1">
        <x:v>6.2</x:v>
      </x:c>
      <x:c r="N100" s="1">
        <x:v>1.2</x:v>
      </x:c>
      <x:c r="O100" s="1">
        <x:v>0.24</x:v>
      </x:c>
      <x:c r="P100" s="1" t="s">
        <x:v>26</x:v>
      </x:c>
      <x:c r="Q100" s="1" t="s">
        <x:v>70</x:v>
      </x:c>
      <x:c r="R100" s="1" t="s">
        <x:v>70</x:v>
      </x:c>
    </x:row>
    <x:row r="101" ht="15.75" customHeight="1">
      <x:c r="A101" s="10" t="s">
        <x:v>281</x:v>
      </x:c>
      <x:c r="B101" s="10" t="s">
        <x:v>282</x:v>
      </x:c>
      <x:c r="C101" s="1" t="s">
        <x:v>18</x:v>
      </x:c>
      <x:c r="D101" s="1" t="s">
        <x:v>19</x:v>
      </x:c>
      <x:c r="E101" s="1" t="s">
        <x:v>257</x:v>
      </x:c>
      <x:c r="F101" s="1" t="s">
        <x:v>186</x:v>
      </x:c>
      <x:c r="G101" s="1" t="s">
        <x:v>283</x:v>
      </x:c>
      <x:c r="H101" s="1" t="s">
        <x:v>23</x:v>
      </x:c>
      <x:c r="I101" s="1">
        <x:v>10.0</x:v>
      </x:c>
      <x:c r="J101" s="1">
        <x:v>1.19</x:v>
      </x:c>
      <x:c r="K101" s="1" t="s">
        <x:v>24</x:v>
      </x:c>
      <x:c r="L101" s="1" t="s">
        <x:v>64</x:v>
      </x:c>
      <x:c r="M101" s="1">
        <x:v>11.9</x:v>
      </x:c>
      <x:c r="N101" s="1">
        <x:v>1.9</x:v>
      </x:c>
      <x:c r="O101" s="1">
        <x:v>0.19</x:v>
      </x:c>
      <x:c r="P101" s="1" t="s">
        <x:v>61</x:v>
      </x:c>
      <x:c r="Q101" s="1" t="s">
        <x:v>70</x:v>
      </x:c>
    </x:row>
    <x:row r="102" ht="15.75" customHeight="1">
      <x:c r="A102" s="10" t="s">
        <x:v>284</x:v>
      </x:c>
      <x:c r="B102" s="10" t="s">
        <x:v>282</x:v>
      </x:c>
      <x:c r="C102" s="1" t="s">
        <x:v>18</x:v>
      </x:c>
      <x:c r="D102" s="1" t="s">
        <x:v>19</x:v>
      </x:c>
      <x:c r="E102" s="1" t="s">
        <x:v>285</x:v>
      </x:c>
      <x:c r="F102" s="1" t="s">
        <x:v>186</x:v>
      </x:c>
      <x:c r="G102" s="1" t="s">
        <x:v>286</x:v>
      </x:c>
      <x:c r="H102" s="1" t="s">
        <x:v>23</x:v>
      </x:c>
      <x:c r="I102" s="1">
        <x:v>10.0</x:v>
      </x:c>
      <x:c r="J102" s="1">
        <x:v>1.14</x:v>
      </x:c>
      <x:c r="K102" s="1" t="s">
        <x:v>24</x:v>
      </x:c>
      <x:c r="L102" s="1" t="s">
        <x:v>262</x:v>
      </x:c>
      <x:c r="M102" s="1">
        <x:v>11.4</x:v>
      </x:c>
      <x:c r="N102" s="1">
        <x:v>1.4</x:v>
      </x:c>
      <x:c r="O102" s="1">
        <x:v>0.14</x:v>
      </x:c>
      <x:c r="P102" s="1" t="s">
        <x:v>61</x:v>
      </x:c>
      <x:c r="Q102" s="1" t="s">
        <x:v>70</x:v>
      </x:c>
    </x:row>
    <x:row r="103" ht="15.75" customHeight="1">
      <x:c r="A103" s="10" t="s">
        <x:v>287</x:v>
      </x:c>
      <x:c r="B103" s="10" t="s">
        <x:v>288</x:v>
      </x:c>
      <x:c r="C103" s="1" t="s">
        <x:v>18</x:v>
      </x:c>
      <x:c r="D103" s="1" t="s">
        <x:v>19</x:v>
      </x:c>
      <x:c r="E103" s="1" t="s">
        <x:v>280</x:v>
      </x:c>
      <x:c r="F103" s="1" t="s">
        <x:v>21</x:v>
      </x:c>
      <x:c r="G103" s="1" t="s">
        <x:v>289</x:v>
      </x:c>
      <x:c r="H103" s="1" t="s">
        <x:v>23</x:v>
      </x:c>
      <x:c r="I103" s="1">
        <x:v>10.0</x:v>
      </x:c>
      <x:c r="J103" s="1">
        <x:v>1.88</x:v>
      </x:c>
      <x:c r="K103" s="1" t="s">
        <x:v>37</x:v>
      </x:c>
      <x:c r="L103" s="10" t="s">
        <x:v>58</x:v>
      </x:c>
      <x:c r="M103" s="1">
        <x:v>0.0</x:v>
      </x:c>
      <x:c r="N103" s="1">
        <x:v>-10.0</x:v>
      </x:c>
      <x:c r="O103" s="1">
        <x:v>-1.0</x:v>
      </x:c>
      <x:c r="P103" s="1" t="s">
        <x:v>26</x:v>
      </x:c>
      <x:c r="Q103" s="1" t="s">
        <x:v>70</x:v>
      </x:c>
    </x:row>
    <x:row r="104" ht="15.75" customHeight="1">
      <x:c r="A104" s="10" t="s">
        <x:v>290</x:v>
      </x:c>
      <x:c r="B104" s="10" t="s">
        <x:v>291</x:v>
      </x:c>
      <x:c r="C104" s="1" t="s">
        <x:v>18</x:v>
      </x:c>
      <x:c r="D104" s="1" t="s">
        <x:v>19</x:v>
      </x:c>
      <x:c r="E104" s="1" t="s">
        <x:v>260</x:v>
      </x:c>
      <x:c r="F104" s="1" t="s">
        <x:v>186</x:v>
      </x:c>
      <x:c r="G104" s="1" t="s">
        <x:v>292</x:v>
      </x:c>
      <x:c r="H104" s="1" t="s">
        <x:v>23</x:v>
      </x:c>
      <x:c r="I104" s="1">
        <x:v>10.0</x:v>
      </x:c>
      <x:c r="J104" s="1">
        <x:v>1.26</x:v>
      </x:c>
      <x:c r="K104" s="1" t="s">
        <x:v>24</x:v>
      </x:c>
      <x:c r="L104" s="1" t="s">
        <x:v>262</x:v>
      </x:c>
      <x:c r="M104" s="1">
        <x:v>12.6</x:v>
      </x:c>
      <x:c r="N104" s="1">
        <x:v>2.6</x:v>
      </x:c>
      <x:c r="O104" s="1">
        <x:v>0.26</x:v>
      </x:c>
      <x:c r="P104" s="1" t="s">
        <x:v>61</x:v>
      </x:c>
      <x:c r="Q104" s="1" t="s">
        <x:v>70</x:v>
      </x:c>
    </x:row>
    <x:row r="105" ht="15.75" customHeight="1">
      <x:c r="A105" s="10" t="s">
        <x:v>293</x:v>
      </x:c>
      <x:c r="B105" s="10" t="s">
        <x:v>294</x:v>
      </x:c>
      <x:c r="C105" s="1" t="s">
        <x:v>18</x:v>
      </x:c>
      <x:c r="D105" s="1" t="s">
        <x:v>19</x:v>
      </x:c>
      <x:c r="E105" s="1" t="s">
        <x:v>295</x:v>
      </x:c>
      <x:c r="F105" s="1" t="s">
        <x:v>21</x:v>
      </x:c>
      <x:c r="G105" s="1" t="s">
        <x:v>296</x:v>
      </x:c>
      <x:c r="H105" s="1" t="s">
        <x:v>23</x:v>
      </x:c>
      <x:c r="I105" s="1">
        <x:v>10.0</x:v>
      </x:c>
      <x:c r="J105" s="1">
        <x:v>1.55</x:v>
      </x:c>
      <x:c r="K105" s="1" t="s">
        <x:v>24</x:v>
      </x:c>
      <x:c r="L105" s="10" t="s">
        <x:v>38</x:v>
      </x:c>
      <x:c r="M105" s="1">
        <x:v>15.5</x:v>
      </x:c>
      <x:c r="N105" s="1">
        <x:v>5.5</x:v>
      </x:c>
      <x:c r="O105" s="1">
        <x:v>0.55</x:v>
      </x:c>
      <x:c r="P105" s="1" t="s">
        <x:v>26</x:v>
      </x:c>
      <x:c r="Q105" s="1" t="s">
        <x:v>100</x:v>
      </x:c>
    </x:row>
    <x:row r="106" ht="15.75" customHeight="1">
      <x:c r="A106" s="10" t="s">
        <x:v>297</x:v>
      </x:c>
      <x:c r="B106" s="10" t="s">
        <x:v>298</x:v>
      </x:c>
      <x:c r="C106" s="1" t="s">
        <x:v>18</x:v>
      </x:c>
      <x:c r="D106" s="1" t="s">
        <x:v>19</x:v>
      </x:c>
      <x:c r="E106" s="1" t="s">
        <x:v>299</x:v>
      </x:c>
      <x:c r="F106" s="1" t="s">
        <x:v>21</x:v>
      </x:c>
      <x:c r="G106" s="1" t="s">
        <x:v>300</x:v>
      </x:c>
      <x:c r="H106" s="1" t="s">
        <x:v>23</x:v>
      </x:c>
      <x:c r="I106" s="1">
        <x:v>10.0</x:v>
      </x:c>
      <x:c r="J106" s="1">
        <x:v>1.42</x:v>
      </x:c>
      <x:c r="K106" s="1" t="s">
        <x:v>37</x:v>
      </x:c>
      <x:c r="L106" s="10" t="s">
        <x:v>41</x:v>
      </x:c>
      <x:c r="M106" s="1">
        <x:v>0.0</x:v>
      </x:c>
      <x:c r="N106" s="1">
        <x:v>-10.0</x:v>
      </x:c>
      <x:c r="O106" s="1">
        <x:v>-1.0</x:v>
      </x:c>
      <x:c r="P106" s="1" t="s">
        <x:v>26</x:v>
      </x:c>
      <x:c r="Q106" s="1" t="s">
        <x:v>100</x:v>
      </x:c>
    </x:row>
    <x:row r="107" ht="15.75" customHeight="1">
      <x:c r="A107" s="10" t="s">
        <x:v>301</x:v>
      </x:c>
      <x:c r="B107" s="10" t="s">
        <x:v>302</x:v>
      </x:c>
      <x:c r="C107" s="1" t="s">
        <x:v>18</x:v>
      </x:c>
      <x:c r="D107" s="1" t="s">
        <x:v>19</x:v>
      </x:c>
      <x:c r="E107" s="1" t="s">
        <x:v>303</x:v>
      </x:c>
      <x:c r="F107" s="1" t="s">
        <x:v>21</x:v>
      </x:c>
      <x:c r="G107" s="1" t="s">
        <x:v>304</x:v>
      </x:c>
      <x:c r="H107" s="1" t="s">
        <x:v>23</x:v>
      </x:c>
      <x:c r="I107" s="1">
        <x:v>10.0</x:v>
      </x:c>
      <x:c r="J107" s="1">
        <x:v>1.95</x:v>
      </x:c>
      <x:c r="K107" s="1" t="s">
        <x:v>37</x:v>
      </x:c>
      <x:c r="L107" s="1" t="s">
        <x:v>29</x:v>
      </x:c>
      <x:c r="M107" s="1">
        <x:v>0.0</x:v>
      </x:c>
      <x:c r="N107" s="1">
        <x:v>-10.0</x:v>
      </x:c>
      <x:c r="O107" s="1">
        <x:v>-1.0</x:v>
      </x:c>
      <x:c r="P107" s="1" t="s">
        <x:v>26</x:v>
      </x:c>
      <x:c r="Q107" s="1" t="s">
        <x:v>100</x:v>
      </x:c>
    </x:row>
    <x:row r="108" ht="15.75" customHeight="1">
      <x:c r="A108" s="10" t="s">
        <x:v>305</x:v>
      </x:c>
      <x:c r="B108" s="10" t="s">
        <x:v>306</x:v>
      </x:c>
      <x:c r="C108" s="1" t="s">
        <x:v>18</x:v>
      </x:c>
      <x:c r="D108" s="1" t="s">
        <x:v>19</x:v>
      </x:c>
      <x:c r="E108" s="1" t="s">
        <x:v>307</x:v>
      </x:c>
      <x:c r="F108" s="1" t="s">
        <x:v>78</x:v>
      </x:c>
      <x:c r="G108" s="1" t="s">
        <x:v>209</x:v>
      </x:c>
      <x:c r="H108" s="1" t="s">
        <x:v>80</x:v>
      </x:c>
      <x:c r="I108" s="1">
        <x:v>10.0</x:v>
      </x:c>
      <x:c r="J108" s="1">
        <x:v>1.65</x:v>
      </x:c>
      <x:c r="K108" s="1" t="s">
        <x:v>37</x:v>
      </x:c>
      <x:c r="L108" s="10" t="s">
        <x:v>308</x:v>
      </x:c>
      <x:c r="M108" s="1">
        <x:v>0.0</x:v>
      </x:c>
      <x:c r="N108" s="1">
        <x:v>-10.0</x:v>
      </x:c>
      <x:c r="O108" s="1">
        <x:v>-1.0</x:v>
      </x:c>
      <x:c r="P108" s="1" t="s">
        <x:v>26</x:v>
      </x:c>
      <x:c r="Q108" s="1" t="s">
        <x:v>100</x:v>
      </x:c>
      <x:c r="R108" s="1" t="s">
        <x:v>100</x:v>
      </x:c>
    </x:row>
    <x:row r="109" ht="15.75" customHeight="1">
      <x:c r="A109" s="10" t="s">
        <x:v>309</x:v>
      </x:c>
      <x:c r="B109" s="10" t="s">
        <x:v>310</x:v>
      </x:c>
      <x:c r="C109" s="1" t="s">
        <x:v>18</x:v>
      </x:c>
      <x:c r="D109" s="1" t="s">
        <x:v>19</x:v>
      </x:c>
      <x:c r="E109" s="1" t="s">
        <x:v>307</x:v>
      </x:c>
      <x:c r="F109" s="1" t="s">
        <x:v>78</x:v>
      </x:c>
      <x:c r="G109" s="1" t="s">
        <x:v>103</x:v>
      </x:c>
      <x:c r="H109" s="1" t="s">
        <x:v>104</x:v>
      </x:c>
      <x:c r="I109" s="1">
        <x:v>5.0</x:v>
      </x:c>
      <x:c r="J109" s="1">
        <x:v>1.22</x:v>
      </x:c>
      <x:c r="K109" s="1" t="s">
        <x:v>24</x:v>
      </x:c>
      <x:c r="L109" s="10" t="s">
        <x:v>308</x:v>
      </x:c>
      <x:c r="M109" s="1">
        <x:v>6.1</x:v>
      </x:c>
      <x:c r="N109" s="1">
        <x:v>1.1</x:v>
      </x:c>
      <x:c r="O109" s="1">
        <x:v>0.22</x:v>
      </x:c>
      <x:c r="P109" s="1" t="s">
        <x:v>26</x:v>
      </x:c>
      <x:c r="Q109" s="1" t="s">
        <x:v>100</x:v>
      </x:c>
    </x:row>
    <x:row r="110" ht="15.75" customHeight="1">
      <x:c r="A110" s="10" t="s">
        <x:v>311</x:v>
      </x:c>
      <x:c r="B110" s="10" t="s">
        <x:v>312</x:v>
      </x:c>
      <x:c r="C110" s="1" t="s">
        <x:v>18</x:v>
      </x:c>
      <x:c r="D110" s="1" t="s">
        <x:v>19</x:v>
      </x:c>
      <x:c r="E110" s="1" t="s">
        <x:v>313</x:v>
      </x:c>
      <x:c r="F110" s="1" t="s">
        <x:v>186</x:v>
      </x:c>
      <x:c r="G110" s="1" t="s">
        <x:v>63</x:v>
      </x:c>
      <x:c r="H110" s="1" t="s">
        <x:v>23</x:v>
      </x:c>
      <x:c r="I110" s="1">
        <x:v>10.0</x:v>
      </x:c>
      <x:c r="J110" s="1">
        <x:v>1.67</x:v>
      </x:c>
      <x:c r="K110" s="1" t="s">
        <x:v>24</x:v>
      </x:c>
      <x:c r="L110" s="10" t="s">
        <x:v>38</x:v>
      </x:c>
      <x:c r="M110" s="1">
        <x:v>16.7</x:v>
      </x:c>
      <x:c r="N110" s="1">
        <x:v>6.7</x:v>
      </x:c>
      <x:c r="O110" s="1">
        <x:v>0.67</x:v>
      </x:c>
      <x:c r="P110" s="1" t="s">
        <x:v>61</x:v>
      </x:c>
      <x:c r="Q110" s="1" t="s">
        <x:v>70</x:v>
      </x:c>
    </x:row>
    <x:row r="111" ht="15.75" customHeight="1">
      <x:c r="A111" s="10" t="s">
        <x:v>314</x:v>
      </x:c>
      <x:c r="B111" s="10" t="s">
        <x:v>315</x:v>
      </x:c>
      <x:c r="C111" s="1" t="s">
        <x:v>18</x:v>
      </x:c>
      <x:c r="D111" s="1" t="s">
        <x:v>19</x:v>
      </x:c>
      <x:c r="E111" s="1" t="s">
        <x:v>316</x:v>
      </x:c>
      <x:c r="F111" s="1" t="s">
        <x:v>186</x:v>
      </x:c>
      <x:c r="G111" s="1" t="s">
        <x:v>34</x:v>
      </x:c>
      <x:c r="H111" s="1" t="s">
        <x:v>34</x:v>
      </x:c>
      <x:c r="I111" s="1">
        <x:v>10.0</x:v>
      </x:c>
      <x:c r="J111" s="1">
        <x:v>3.5</x:v>
      </x:c>
      <x:c r="K111" s="1" t="s">
        <x:v>37</x:v>
      </x:c>
      <x:c r="L111" s="10" t="s">
        <x:v>38</x:v>
      </x:c>
      <x:c r="M111" s="1">
        <x:v>0.0</x:v>
      </x:c>
      <x:c r="N111" s="1">
        <x:v>-10.0</x:v>
      </x:c>
      <x:c r="O111" s="1">
        <x:v>-1.0</x:v>
      </x:c>
      <x:c r="P111" s="1" t="s">
        <x:v>61</x:v>
      </x:c>
      <x:c r="Q111" s="1" t="s">
        <x:v>70</x:v>
      </x:c>
    </x:row>
    <x:row r="112" ht="15.75" customHeight="1">
      <x:c r="A112" s="10" t="s">
        <x:v>317</x:v>
      </x:c>
      <x:c r="B112" s="10" t="s">
        <x:v>315</x:v>
      </x:c>
      <x:c r="C112" s="1" t="s">
        <x:v>18</x:v>
      </x:c>
      <x:c r="D112" s="1" t="s">
        <x:v>19</x:v>
      </x:c>
      <x:c r="E112" s="1" t="s">
        <x:v>313</x:v>
      </x:c>
      <x:c r="F112" s="1" t="s">
        <x:v>78</x:v>
      </x:c>
      <x:c r="G112" s="1" t="s">
        <x:v>318</x:v>
      </x:c>
      <x:c r="H112" s="1" t="s">
        <x:v>104</x:v>
      </x:c>
      <x:c r="I112" s="1">
        <x:v>20.0</x:v>
      </x:c>
      <x:c r="J112" s="1">
        <x:v>2.05</x:v>
      </x:c>
      <x:c r="K112" s="1" t="s">
        <x:v>82</x:v>
      </x:c>
      <x:c r="L112" s="10" t="s">
        <x:v>38</x:v>
      </x:c>
      <x:c r="M112" s="1">
        <x:v>20.0</x:v>
      </x:c>
      <x:c r="N112" s="1">
        <x:v>0.0</x:v>
      </x:c>
      <x:c r="O112" s="1">
        <x:v>0.0</x:v>
      </x:c>
      <x:c r="P112" s="1" t="s">
        <x:v>26</x:v>
      </x:c>
      <x:c r="Q112" s="1" t="s">
        <x:v>319</x:v>
      </x:c>
    </x:row>
    <x:row r="113" ht="15.75" customHeight="1">
      <x:c r="A113" s="10" t="s">
        <x:v>320</x:v>
      </x:c>
      <x:c r="B113" s="10" t="s">
        <x:v>321</x:v>
      </x:c>
      <x:c r="C113" s="1" t="s">
        <x:v>18</x:v>
      </x:c>
      <x:c r="D113" s="1" t="s">
        <x:v>19</x:v>
      </x:c>
      <x:c r="E113" s="1" t="s">
        <x:v>322</x:v>
      </x:c>
      <x:c r="F113" s="1" t="s">
        <x:v>78</x:v>
      </x:c>
      <x:c r="G113" s="1" t="s">
        <x:v>214</x:v>
      </x:c>
      <x:c r="H113" s="1" t="s">
        <x:v>80</x:v>
      </x:c>
      <x:c r="I113" s="1">
        <x:v>10.0</x:v>
      </x:c>
      <x:c r="J113" s="1">
        <x:v>1.16</x:v>
      </x:c>
      <x:c r="K113" s="1" t="s">
        <x:v>24</x:v>
      </x:c>
      <x:c r="L113" s="1" t="s">
        <x:v>29</x:v>
      </x:c>
      <x:c r="M113" s="1">
        <x:v>11.6</x:v>
      </x:c>
      <x:c r="N113" s="1">
        <x:v>1.6</x:v>
      </x:c>
      <x:c r="O113" s="1">
        <x:v>0.16</x:v>
      </x:c>
      <x:c r="P113" s="1" t="s">
        <x:v>26</x:v>
      </x:c>
      <x:c r="Q113" s="1" t="s">
        <x:v>70</x:v>
      </x:c>
      <x:c r="R113" s="1" t="s">
        <x:v>70</x:v>
      </x:c>
    </x:row>
    <x:row r="114" ht="15.75" customHeight="1">
      <x:c r="A114" s="10" t="s">
        <x:v>323</x:v>
      </x:c>
      <x:c r="B114" s="10" t="s">
        <x:v>321</x:v>
      </x:c>
      <x:c r="C114" s="1" t="s">
        <x:v>18</x:v>
      </x:c>
      <x:c r="D114" s="1" t="s">
        <x:v>19</x:v>
      </x:c>
      <x:c r="E114" s="1" t="s">
        <x:v>322</x:v>
      </x:c>
      <x:c r="F114" s="1" t="s">
        <x:v>78</x:v>
      </x:c>
      <x:c r="G114" s="1" t="s">
        <x:v>261</x:v>
      </x:c>
      <x:c r="H114" s="1" t="s">
        <x:v>104</x:v>
      </x:c>
      <x:c r="I114" s="1">
        <x:v>10.0</x:v>
      </x:c>
      <x:c r="J114" s="1">
        <x:v>1.27</x:v>
      </x:c>
      <x:c r="K114" s="1" t="s">
        <x:v>37</x:v>
      </x:c>
      <x:c r="L114" s="1" t="s">
        <x:v>29</x:v>
      </x:c>
      <x:c r="M114" s="1">
        <x:v>0.0</x:v>
      </x:c>
      <x:c r="N114" s="1">
        <x:v>-10.0</x:v>
      </x:c>
      <x:c r="O114" s="1">
        <x:v>-1.0</x:v>
      </x:c>
      <x:c r="P114" s="1" t="s">
        <x:v>26</x:v>
      </x:c>
      <x:c r="Q114" s="1" t="s">
        <x:v>70</x:v>
      </x:c>
    </x:row>
    <x:row r="115" ht="15.75" customHeight="1">
      <x:c r="A115" s="10" t="s">
        <x:v>324</x:v>
      </x:c>
      <x:c r="B115" s="10" t="s">
        <x:v>325</x:v>
      </x:c>
      <x:c r="C115" s="1" t="s">
        <x:v>18</x:v>
      </x:c>
      <x:c r="D115" s="1" t="s">
        <x:v>19</x:v>
      </x:c>
      <x:c r="E115" s="1" t="s">
        <x:v>326</x:v>
      </x:c>
      <x:c r="F115" s="1" t="s">
        <x:v>78</x:v>
      </x:c>
      <x:c r="G115" s="1" t="s">
        <x:v>261</x:v>
      </x:c>
      <x:c r="H115" s="1" t="s">
        <x:v>104</x:v>
      </x:c>
      <x:c r="I115" s="1">
        <x:v>10.0</x:v>
      </x:c>
      <x:c r="J115" s="1">
        <x:v>1.2</x:v>
      </x:c>
      <x:c r="K115" s="1" t="s">
        <x:v>82</x:v>
      </x:c>
      <x:c r="L115" s="10" t="s">
        <x:v>41</x:v>
      </x:c>
      <x:c r="M115" s="1">
        <x:v>10.0</x:v>
      </x:c>
      <x:c r="N115" s="1">
        <x:v>0.0</x:v>
      </x:c>
      <x:c r="O115" s="1">
        <x:v>0.0</x:v>
      </x:c>
      <x:c r="P115" s="1" t="s">
        <x:v>26</x:v>
      </x:c>
      <x:c r="Q115" s="1" t="s">
        <x:v>319</x:v>
      </x:c>
    </x:row>
    <x:row r="116" ht="15.75" customHeight="1">
      <x:c r="A116" s="10" t="s">
        <x:v>327</x:v>
      </x:c>
      <x:c r="B116" s="10" t="s">
        <x:v>325</x:v>
      </x:c>
      <x:c r="C116" s="1" t="s">
        <x:v>18</x:v>
      </x:c>
      <x:c r="D116" s="1" t="s">
        <x:v>19</x:v>
      </x:c>
      <x:c r="E116" s="1" t="s">
        <x:v>326</x:v>
      </x:c>
      <x:c r="F116" s="1" t="s">
        <x:v>186</x:v>
      </x:c>
      <x:c r="G116" s="1" t="s">
        <x:v>328</x:v>
      </x:c>
      <x:c r="H116" s="1" t="s">
        <x:v>23</x:v>
      </x:c>
      <x:c r="I116" s="1">
        <x:v>10.0</x:v>
      </x:c>
      <x:c r="J116" s="1">
        <x:v>1.55</x:v>
      </x:c>
      <x:c r="K116" s="1" t="s">
        <x:v>82</x:v>
      </x:c>
      <x:c r="L116" s="10" t="s">
        <x:v>41</x:v>
      </x:c>
      <x:c r="M116" s="1">
        <x:v>10.0</x:v>
      </x:c>
      <x:c r="N116" s="1">
        <x:v>0.0</x:v>
      </x:c>
      <x:c r="O116" s="1">
        <x:v>0.0</x:v>
      </x:c>
      <x:c r="P116" s="1" t="s">
        <x:v>61</x:v>
      </x:c>
      <x:c r="Q116" s="1" t="s">
        <x:v>319</x:v>
      </x:c>
    </x:row>
    <x:row r="117" ht="15.75" customHeight="1">
      <x:c r="A117" s="10" t="s">
        <x:v>329</x:v>
      </x:c>
      <x:c r="B117" s="10" t="s">
        <x:v>330</x:v>
      </x:c>
      <x:c r="C117" s="1" t="s">
        <x:v>18</x:v>
      </x:c>
      <x:c r="D117" s="1" t="s">
        <x:v>19</x:v>
      </x:c>
      <x:c r="E117" s="1" t="s">
        <x:v>316</x:v>
      </x:c>
      <x:c r="F117" s="1" t="s">
        <x:v>78</x:v>
      </x:c>
      <x:c r="G117" s="1" t="s">
        <x:v>79</x:v>
      </x:c>
      <x:c r="H117" s="1" t="s">
        <x:v>80</x:v>
      </x:c>
      <x:c r="I117" s="1">
        <x:v>4.2</x:v>
      </x:c>
      <x:c r="J117" s="1">
        <x:v>1.62</x:v>
      </x:c>
      <x:c r="K117" s="1" t="s">
        <x:v>37</x:v>
      </x:c>
      <x:c r="L117" s="10" t="s">
        <x:v>38</x:v>
      </x:c>
      <x:c r="M117" s="1">
        <x:v>0.0</x:v>
      </x:c>
      <x:c r="N117" s="1">
        <x:v>-4.2</x:v>
      </x:c>
      <x:c r="O117" s="1">
        <x:v>-1.0</x:v>
      </x:c>
      <x:c r="P117" s="1" t="s">
        <x:v>26</x:v>
      </x:c>
      <x:c r="Q117" s="1" t="s">
        <x:v>70</x:v>
      </x:c>
      <x:c r="R117" s="1" t="s">
        <x:v>70</x:v>
      </x:c>
    </x:row>
    <x:row r="118" ht="15.75" customHeight="1">
      <x:c r="A118" s="10" t="s">
        <x:v>331</x:v>
      </x:c>
      <x:c r="B118" s="10" t="s">
        <x:v>332</x:v>
      </x:c>
      <x:c r="C118" s="1" t="s">
        <x:v>18</x:v>
      </x:c>
      <x:c r="D118" s="1" t="s">
        <x:v>19</x:v>
      </x:c>
      <x:c r="E118" s="1" t="s">
        <x:v>313</x:v>
      </x:c>
      <x:c r="F118" s="1" t="s">
        <x:v>78</x:v>
      </x:c>
      <x:c r="G118" s="1" t="s">
        <x:v>153</x:v>
      </x:c>
      <x:c r="H118" s="1" t="s">
        <x:v>80</x:v>
      </x:c>
      <x:c r="I118" s="1">
        <x:v>10.0</x:v>
      </x:c>
      <x:c r="J118" s="1">
        <x:v>1.3</x:v>
      </x:c>
      <x:c r="K118" s="1" t="s">
        <x:v>24</x:v>
      </x:c>
      <x:c r="L118" s="10" t="s">
        <x:v>38</x:v>
      </x:c>
      <x:c r="M118" s="1">
        <x:v>13.0</x:v>
      </x:c>
      <x:c r="N118" s="1">
        <x:v>3.0</x:v>
      </x:c>
      <x:c r="O118" s="1">
        <x:v>0.3</x:v>
      </x:c>
      <x:c r="P118" s="1" t="s">
        <x:v>26</x:v>
      </x:c>
      <x:c r="Q118" s="1" t="s">
        <x:v>70</x:v>
      </x:c>
      <x:c r="R118" s="1" t="s">
        <x:v>70</x:v>
      </x:c>
    </x:row>
    <x:row r="119" ht="15.75" customHeight="1">
      <x:c r="A119" s="10" t="s">
        <x:v>333</x:v>
      </x:c>
      <x:c r="B119" s="10" t="s">
        <x:v>334</x:v>
      </x:c>
      <x:c r="C119" s="1" t="s">
        <x:v>18</x:v>
      </x:c>
      <x:c r="D119" s="1" t="s">
        <x:v>19</x:v>
      </x:c>
      <x:c r="E119" s="1" t="s">
        <x:v>335</x:v>
      </x:c>
      <x:c r="F119" s="1" t="s">
        <x:v>186</x:v>
      </x:c>
      <x:c r="G119" s="1" t="s">
        <x:v>336</x:v>
      </x:c>
      <x:c r="H119" s="1" t="s">
        <x:v>23</x:v>
      </x:c>
      <x:c r="I119" s="1">
        <x:v>10.0</x:v>
      </x:c>
      <x:c r="J119" s="1">
        <x:v>1.82</x:v>
      </x:c>
      <x:c r="K119" s="1" t="s">
        <x:v>24</x:v>
      </x:c>
      <x:c r="L119" s="10" t="s">
        <x:v>38</x:v>
      </x:c>
      <x:c r="M119" s="1">
        <x:v>18.2</x:v>
      </x:c>
      <x:c r="N119" s="1">
        <x:v>8.2</x:v>
      </x:c>
      <x:c r="O119" s="1">
        <x:v>0.82</x:v>
      </x:c>
      <x:c r="P119" s="1" t="s">
        <x:v>61</x:v>
      </x:c>
      <x:c r="Q119" s="1" t="s">
        <x:v>70</x:v>
      </x:c>
    </x:row>
    <x:row r="120" ht="15.75" customHeight="1">
      <x:c r="A120" s="10" t="s">
        <x:v>337</x:v>
      </x:c>
      <x:c r="B120" s="10" t="s">
        <x:v>338</x:v>
      </x:c>
      <x:c r="C120" s="1" t="s">
        <x:v>18</x:v>
      </x:c>
      <x:c r="D120" s="1" t="s">
        <x:v>19</x:v>
      </x:c>
      <x:c r="E120" s="1" t="s">
        <x:v>339</x:v>
      </x:c>
      <x:c r="F120" s="1" t="s">
        <x:v>78</x:v>
      </x:c>
      <x:c r="G120" s="1" t="s">
        <x:v>261</x:v>
      </x:c>
      <x:c r="H120" s="1" t="s">
        <x:v>104</x:v>
      </x:c>
      <x:c r="I120" s="1">
        <x:v>10.0</x:v>
      </x:c>
      <x:c r="J120" s="1">
        <x:v>1.28</x:v>
      </x:c>
      <x:c r="K120" s="1" t="s">
        <x:v>24</x:v>
      </x:c>
      <x:c r="L120" s="1" t="s">
        <x:v>182</x:v>
      </x:c>
      <x:c r="M120" s="1">
        <x:v>12.8</x:v>
      </x:c>
      <x:c r="N120" s="1">
        <x:v>2.8</x:v>
      </x:c>
      <x:c r="O120" s="1">
        <x:v>0.28</x:v>
      </x:c>
      <x:c r="P120" s="1" t="s">
        <x:v>26</x:v>
      </x:c>
      <x:c r="Q120" s="1" t="s">
        <x:v>100</x:v>
      </x:c>
    </x:row>
    <x:row r="121" ht="15.75" customHeight="1">
      <x:c r="A121" s="10" t="s">
        <x:v>340</x:v>
      </x:c>
      <x:c r="B121" s="10" t="s">
        <x:v>341</x:v>
      </x:c>
      <x:c r="C121" s="1" t="s">
        <x:v>18</x:v>
      </x:c>
      <x:c r="D121" s="1" t="s">
        <x:v>19</x:v>
      </x:c>
      <x:c r="E121" s="1" t="s">
        <x:v>342</x:v>
      </x:c>
      <x:c r="F121" s="1" t="s">
        <x:v>78</x:v>
      </x:c>
      <x:c r="G121" s="1" t="s">
        <x:v>79</x:v>
      </x:c>
      <x:c r="H121" s="1" t="s">
        <x:v>80</x:v>
      </x:c>
      <x:c r="I121" s="1">
        <x:v>10.0</x:v>
      </x:c>
      <x:c r="J121" s="1">
        <x:v>1.8</x:v>
      </x:c>
      <x:c r="K121" s="1" t="s">
        <x:v>37</x:v>
      </x:c>
      <x:c r="L121" s="10" t="s">
        <x:v>92</x:v>
      </x:c>
      <x:c r="M121" s="1">
        <x:v>0.0</x:v>
      </x:c>
      <x:c r="N121" s="1">
        <x:v>-10.0</x:v>
      </x:c>
      <x:c r="O121" s="1">
        <x:v>-1.0</x:v>
      </x:c>
      <x:c r="P121" s="1" t="s">
        <x:v>26</x:v>
      </x:c>
      <x:c r="Q121" s="1" t="s">
        <x:v>100</x:v>
      </x:c>
      <x:c r="R121" s="1" t="s">
        <x:v>100</x:v>
      </x:c>
    </x:row>
    <x:row r="122" ht="15.75" customHeight="1">
      <x:c r="A122" s="10" t="s">
        <x:v>343</x:v>
      </x:c>
      <x:c r="B122" s="10" t="s">
        <x:v>344</x:v>
      </x:c>
      <x:c r="C122" s="1" t="s">
        <x:v>18</x:v>
      </x:c>
      <x:c r="D122" s="1" t="s">
        <x:v>19</x:v>
      </x:c>
      <x:c r="E122" s="1" t="s">
        <x:v>345</x:v>
      </x:c>
      <x:c r="F122" s="1" t="s">
        <x:v>78</x:v>
      </x:c>
      <x:c r="G122" s="1" t="s">
        <x:v>346</x:v>
      </x:c>
      <x:c r="H122" s="1" t="s">
        <x:v>104</x:v>
      </x:c>
      <x:c r="I122" s="1">
        <x:v>10.0</x:v>
      </x:c>
      <x:c r="J122" s="1">
        <x:v>1.19</x:v>
      </x:c>
      <x:c r="K122" s="1" t="s">
        <x:v>37</x:v>
      </x:c>
      <x:c r="L122" s="10" t="s">
        <x:v>38</x:v>
      </x:c>
      <x:c r="M122" s="1">
        <x:v>0.0</x:v>
      </x:c>
      <x:c r="N122" s="1">
        <x:v>-10.0</x:v>
      </x:c>
      <x:c r="O122" s="1">
        <x:v>-1.0</x:v>
      </x:c>
      <x:c r="P122" s="1" t="s">
        <x:v>26</x:v>
      </x:c>
      <x:c r="Q122" s="1" t="s">
        <x:v>100</x:v>
      </x:c>
    </x:row>
    <x:row r="123" ht="15.75" customHeight="1">
      <x:c r="A123" s="10" t="s">
        <x:v>347</x:v>
      </x:c>
      <x:c r="B123" s="10" t="s">
        <x:v>348</x:v>
      </x:c>
      <x:c r="C123" s="1" t="s">
        <x:v>18</x:v>
      </x:c>
      <x:c r="D123" s="1" t="s">
        <x:v>19</x:v>
      </x:c>
      <x:c r="E123" s="1" t="s">
        <x:v>349</x:v>
      </x:c>
      <x:c r="F123" s="1" t="s">
        <x:v>234</x:v>
      </x:c>
      <x:c r="G123" s="1" t="s">
        <x:v>61</x:v>
      </x:c>
      <x:c r="H123" s="1" t="s">
        <x:v>350</x:v>
      </x:c>
      <x:c r="I123" s="1">
        <x:v>10.0</x:v>
      </x:c>
      <x:c r="J123" s="1">
        <x:v>1.38</x:v>
      </x:c>
      <x:c r="K123" s="1" t="s">
        <x:v>24</x:v>
      </x:c>
      <x:c r="M123" s="1">
        <x:v>13.8</x:v>
      </x:c>
      <x:c r="N123" s="1">
        <x:v>3.8</x:v>
      </x:c>
      <x:c r="O123" s="1">
        <x:v>0.38</x:v>
      </x:c>
      <x:c r="P123" s="1" t="s">
        <x:v>26</x:v>
      </x:c>
      <x:c r="Q123" s="1" t="s">
        <x:v>70</x:v>
      </x:c>
    </x:row>
    <x:row r="124" ht="15.75" customHeight="1">
      <x:c r="A124" s="10" t="s">
        <x:v>351</x:v>
      </x:c>
      <x:c r="B124" s="10" t="s">
        <x:v>352</x:v>
      </x:c>
      <x:c r="C124" s="1" t="s">
        <x:v>18</x:v>
      </x:c>
      <x:c r="D124" s="1" t="s">
        <x:v>19</x:v>
      </x:c>
      <x:c r="E124" s="1" t="s">
        <x:v>353</x:v>
      </x:c>
      <x:c r="F124" s="1" t="s">
        <x:v>354</x:v>
      </x:c>
      <x:c r="G124" s="1" t="s">
        <x:v>355</x:v>
      </x:c>
      <x:c r="H124" s="1" t="s">
        <x:v>356</x:v>
      </x:c>
      <x:c r="I124" s="1">
        <x:v>10.0</x:v>
      </x:c>
      <x:c r="J124" s="1">
        <x:v>1.93</x:v>
      </x:c>
      <x:c r="K124" s="1" t="s">
        <x:v>24</x:v>
      </x:c>
      <x:c r="L124" s="1" t="s">
        <x:v>262</x:v>
      </x:c>
      <x:c r="M124" s="1">
        <x:v>19.3</x:v>
      </x:c>
      <x:c r="N124" s="1">
        <x:v>9.3</x:v>
      </x:c>
      <x:c r="O124" s="1">
        <x:v>0.93</x:v>
      </x:c>
      <x:c r="P124" s="1" t="s">
        <x:v>26</x:v>
      </x:c>
      <x:c r="Q124" s="1" t="s">
        <x:v>70</x:v>
      </x:c>
    </x:row>
    <x:row r="125" ht="15.75" customHeight="1">
      <x:c r="A125" s="10" t="s">
        <x:v>357</x:v>
      </x:c>
      <x:c r="B125" s="10" t="s">
        <x:v>358</x:v>
      </x:c>
      <x:c r="C125" s="1" t="s">
        <x:v>18</x:v>
      </x:c>
      <x:c r="D125" s="1" t="s">
        <x:v>19</x:v>
      </x:c>
      <x:c r="E125" s="1" t="s">
        <x:v>359</x:v>
      </x:c>
      <x:c r="F125" s="1" t="s">
        <x:v>354</x:v>
      </x:c>
      <x:c r="G125" s="1" t="s">
        <x:v>360</x:v>
      </x:c>
      <x:c r="H125" s="1" t="s">
        <x:v>356</x:v>
      </x:c>
      <x:c r="I125" s="1">
        <x:v>10.0</x:v>
      </x:c>
      <x:c r="J125" s="1">
        <x:v>1.8</x:v>
      </x:c>
      <x:c r="K125" s="1" t="s">
        <x:v>37</x:v>
      </x:c>
      <x:c r="L125" s="10" t="s">
        <x:v>44</x:v>
      </x:c>
      <x:c r="M125" s="1">
        <x:v>0.0</x:v>
      </x:c>
      <x:c r="N125" s="1">
        <x:v>-10.0</x:v>
      </x:c>
      <x:c r="O125" s="1">
        <x:v>-1.0</x:v>
      </x:c>
      <x:c r="P125" s="1" t="s">
        <x:v>26</x:v>
      </x:c>
      <x:c r="Q125" s="1" t="s">
        <x:v>70</x:v>
      </x:c>
    </x:row>
    <x:row r="126" ht="15.75" customHeight="1">
      <x:c r="A126" s="10" t="s">
        <x:v>361</x:v>
      </x:c>
      <x:c r="B126" s="10" t="s">
        <x:v>362</x:v>
      </x:c>
      <x:c r="C126" s="1" t="s">
        <x:v>18</x:v>
      </x:c>
      <x:c r="D126" s="1" t="s">
        <x:v>19</x:v>
      </x:c>
      <x:c r="E126" s="1" t="s">
        <x:v>363</x:v>
      </x:c>
      <x:c r="F126" s="1" t="s">
        <x:v>354</x:v>
      </x:c>
      <x:c r="G126" s="1" t="s">
        <x:v>364</x:v>
      </x:c>
      <x:c r="H126" s="1" t="s">
        <x:v>365</x:v>
      </x:c>
      <x:c r="I126" s="1">
        <x:v>10.0</x:v>
      </x:c>
      <x:c r="J126" s="1">
        <x:v>1.42</x:v>
      </x:c>
      <x:c r="K126" s="1" t="s">
        <x:v>24</x:v>
      </x:c>
      <x:c r="L126" s="10" t="s">
        <x:v>46</x:v>
      </x:c>
      <x:c r="M126" s="1">
        <x:v>14.2</x:v>
      </x:c>
      <x:c r="N126" s="1">
        <x:v>4.2</x:v>
      </x:c>
      <x:c r="O126" s="1">
        <x:v>0.42</x:v>
      </x:c>
      <x:c r="P126" s="1" t="s">
        <x:v>26</x:v>
      </x:c>
      <x:c r="Q126" s="1" t="s">
        <x:v>70</x:v>
      </x:c>
    </x:row>
    <x:row r="127" ht="15.75" customHeight="1">
      <x:c r="A127" s="10" t="s">
        <x:v>366</x:v>
      </x:c>
      <x:c r="B127" s="10" t="s">
        <x:v>367</x:v>
      </x:c>
      <x:c r="C127" s="1" t="s">
        <x:v>18</x:v>
      </x:c>
      <x:c r="D127" s="1" t="s">
        <x:v>19</x:v>
      </x:c>
      <x:c r="E127" s="1" t="s">
        <x:v>368</x:v>
      </x:c>
      <x:c r="F127" s="1" t="s">
        <x:v>369</x:v>
      </x:c>
      <x:c r="G127" s="1" t="s">
        <x:v>370</x:v>
      </x:c>
      <x:c r="H127" s="1" t="s">
        <x:v>371</x:v>
      </x:c>
      <x:c r="I127" s="1">
        <x:v>10.0</x:v>
      </x:c>
      <x:c r="J127" s="1">
        <x:v>1.95</x:v>
      </x:c>
      <x:c r="K127" s="1" t="s">
        <x:v>24</x:v>
      </x:c>
      <x:c r="L127" s="10" t="s">
        <x:v>38</x:v>
      </x:c>
      <x:c r="M127" s="1">
        <x:v>19.5</x:v>
      </x:c>
      <x:c r="N127" s="1">
        <x:v>9.5</x:v>
      </x:c>
      <x:c r="O127" s="1">
        <x:v>0.95</x:v>
      </x:c>
      <x:c r="P127" s="1" t="s">
        <x:v>26</x:v>
      </x:c>
      <x:c r="Q127" s="1" t="s">
        <x:v>100</x:v>
      </x:c>
    </x:row>
    <x:row r="128" ht="15.75" customHeight="1">
      <x:c r="A128" s="10" t="s">
        <x:v>372</x:v>
      </x:c>
      <x:c r="B128" s="10" t="s">
        <x:v>373</x:v>
      </x:c>
      <x:c r="C128" s="1" t="s">
        <x:v>18</x:v>
      </x:c>
      <x:c r="D128" s="1" t="s">
        <x:v>19</x:v>
      </x:c>
      <x:c r="E128" s="1" t="s">
        <x:v>374</x:v>
      </x:c>
      <x:c r="F128" s="1" t="s">
        <x:v>139</x:v>
      </x:c>
      <x:c r="G128" s="1" t="s">
        <x:v>140</x:v>
      </x:c>
      <x:c r="H128" s="1" t="s">
        <x:v>141</x:v>
      </x:c>
      <x:c r="I128" s="1">
        <x:v>10.0</x:v>
      </x:c>
      <x:c r="J128" s="1">
        <x:v>1.75</x:v>
      </x:c>
      <x:c r="K128" s="1" t="s">
        <x:v>24</x:v>
      </x:c>
      <x:c r="L128" s="10" t="s">
        <x:v>58</x:v>
      </x:c>
      <x:c r="M128" s="1">
        <x:v>17.5</x:v>
      </x:c>
      <x:c r="N128" s="1">
        <x:v>7.5</x:v>
      </x:c>
      <x:c r="O128" s="1">
        <x:v>0.75</x:v>
      </x:c>
      <x:c r="P128" s="1" t="s">
        <x:v>26</x:v>
      </x:c>
      <x:c r="Q128" s="1" t="s">
        <x:v>70</x:v>
      </x:c>
    </x:row>
    <x:row r="129" ht="15.75" customHeight="1">
      <x:c r="A129" s="10" t="s">
        <x:v>375</x:v>
      </x:c>
      <x:c r="B129" s="10" t="s">
        <x:v>376</x:v>
      </x:c>
      <x:c r="C129" s="1" t="s">
        <x:v>18</x:v>
      </x:c>
      <x:c r="D129" s="1" t="s">
        <x:v>19</x:v>
      </x:c>
      <x:c r="E129" s="1" t="s">
        <x:v>377</x:v>
      </x:c>
      <x:c r="F129" s="1" t="s">
        <x:v>369</x:v>
      </x:c>
      <x:c r="G129" s="1" t="s">
        <x:v>127</x:v>
      </x:c>
      <x:c r="H129" s="1" t="s">
        <x:v>371</x:v>
      </x:c>
      <x:c r="I129" s="1">
        <x:v>10.0</x:v>
      </x:c>
      <x:c r="J129" s="1">
        <x:v>1.78</x:v>
      </x:c>
      <x:c r="K129" s="1" t="s">
        <x:v>24</x:v>
      </x:c>
      <x:c r="L129" s="10" t="s">
        <x:v>41</x:v>
      </x:c>
      <x:c r="M129" s="1">
        <x:v>17.8</x:v>
      </x:c>
      <x:c r="N129" s="1">
        <x:v>7.8</x:v>
      </x:c>
      <x:c r="O129" s="1">
        <x:v>0.78</x:v>
      </x:c>
      <x:c r="P129" s="1" t="s">
        <x:v>26</x:v>
      </x:c>
      <x:c r="Q129" s="1" t="s">
        <x:v>100</x:v>
      </x:c>
    </x:row>
    <x:row r="130" ht="15.75" customHeight="1">
      <x:c r="A130" s="10" t="s">
        <x:v>378</x:v>
      </x:c>
      <x:c r="B130" s="10" t="s">
        <x:v>379</x:v>
      </x:c>
      <x:c r="C130" s="1" t="s">
        <x:v>18</x:v>
      </x:c>
      <x:c r="D130" s="1" t="s">
        <x:v>19</x:v>
      </x:c>
      <x:c r="E130" s="1" t="s">
        <x:v>380</x:v>
      </x:c>
      <x:c r="F130" s="1" t="s">
        <x:v>78</x:v>
      </x:c>
      <x:c r="G130" s="1" t="s">
        <x:v>381</x:v>
      </x:c>
      <x:c r="H130" s="1" t="s">
        <x:v>104</x:v>
      </x:c>
      <x:c r="I130" s="1">
        <x:v>10.0</x:v>
      </x:c>
      <x:c r="J130" s="1">
        <x:v>1.31</x:v>
      </x:c>
      <x:c r="K130" s="1" t="s">
        <x:v>24</x:v>
      </x:c>
      <x:c r="L130" s="10" t="s">
        <x:v>44</x:v>
      </x:c>
      <x:c r="M130" s="1">
        <x:v>13.1</x:v>
      </x:c>
      <x:c r="N130" s="1">
        <x:v>3.1</x:v>
      </x:c>
      <x:c r="O130" s="1">
        <x:v>0.31</x:v>
      </x:c>
      <x:c r="P130" s="1" t="s">
        <x:v>26</x:v>
      </x:c>
      <x:c r="Q130" s="1" t="s">
        <x:v>100</x:v>
      </x:c>
    </x:row>
    <x:row r="131" ht="15.75" customHeight="1">
      <x:c r="A131" s="10" t="s">
        <x:v>382</x:v>
      </x:c>
      <x:c r="B131" s="10" t="s">
        <x:v>383</x:v>
      </x:c>
      <x:c r="C131" s="1" t="s">
        <x:v>18</x:v>
      </x:c>
      <x:c r="D131" s="1" t="s">
        <x:v>19</x:v>
      </x:c>
      <x:c r="E131" s="1" t="s">
        <x:v>384</x:v>
      </x:c>
      <x:c r="F131" s="1" t="s">
        <x:v>78</x:v>
      </x:c>
      <x:c r="G131" s="1" t="s">
        <x:v>261</x:v>
      </x:c>
      <x:c r="H131" s="1" t="s">
        <x:v>104</x:v>
      </x:c>
      <x:c r="I131" s="1">
        <x:v>10.0</x:v>
      </x:c>
      <x:c r="J131" s="1">
        <x:v>1.15</x:v>
      </x:c>
      <x:c r="K131" s="1" t="s">
        <x:v>24</x:v>
      </x:c>
      <x:c r="L131" s="10" t="s">
        <x:v>41</x:v>
      </x:c>
      <x:c r="M131" s="1">
        <x:v>11.5</x:v>
      </x:c>
      <x:c r="N131" s="1">
        <x:v>1.5</x:v>
      </x:c>
      <x:c r="O131" s="1">
        <x:v>0.15</x:v>
      </x:c>
      <x:c r="P131" s="1" t="s">
        <x:v>26</x:v>
      </x:c>
      <x:c r="Q131" s="1" t="s">
        <x:v>100</x:v>
      </x:c>
    </x:row>
    <x:row r="132" ht="15.75" customHeight="1">
      <x:c r="A132" s="10" t="s">
        <x:v>385</x:v>
      </x:c>
      <x:c r="B132" s="10" t="s">
        <x:v>386</x:v>
      </x:c>
      <x:c r="C132" s="1" t="s">
        <x:v>18</x:v>
      </x:c>
      <x:c r="D132" s="1" t="s">
        <x:v>19</x:v>
      </x:c>
      <x:c r="E132" s="1" t="s">
        <x:v>387</x:v>
      </x:c>
      <x:c r="F132" s="1" t="s">
        <x:v>369</x:v>
      </x:c>
      <x:c r="G132" s="1" t="s">
        <x:v>388</x:v>
      </x:c>
      <x:c r="H132" s="1" t="s">
        <x:v>371</x:v>
      </x:c>
      <x:c r="I132" s="1">
        <x:v>10.0</x:v>
      </x:c>
      <x:c r="J132" s="1">
        <x:v>1.57</x:v>
      </x:c>
      <x:c r="K132" s="1" t="s">
        <x:v>37</x:v>
      </x:c>
      <x:c r="L132" s="1" t="s">
        <x:v>35</x:v>
      </x:c>
      <x:c r="M132" s="1">
        <x:v>0.0</x:v>
      </x:c>
      <x:c r="N132" s="1">
        <x:v>-10.0</x:v>
      </x:c>
      <x:c r="O132" s="1">
        <x:v>-1.0</x:v>
      </x:c>
      <x:c r="P132" s="1" t="s">
        <x:v>26</x:v>
      </x:c>
      <x:c r="Q132" s="1" t="s">
        <x:v>100</x:v>
      </x:c>
    </x:row>
    <x:row r="133" ht="15.75" customHeight="1">
      <x:c r="A133" s="10" t="s">
        <x:v>389</x:v>
      </x:c>
      <x:c r="B133" s="10" t="s">
        <x:v>390</x:v>
      </x:c>
      <x:c r="C133" s="1" t="s">
        <x:v>18</x:v>
      </x:c>
      <x:c r="D133" s="1" t="s">
        <x:v>19</x:v>
      </x:c>
      <x:c r="E133" s="1" t="s">
        <x:v>391</x:v>
      </x:c>
      <x:c r="F133" s="1" t="s">
        <x:v>354</x:v>
      </x:c>
      <x:c r="G133" s="1" t="s">
        <x:v>392</x:v>
      </x:c>
      <x:c r="H133" s="1" t="s">
        <x:v>393</x:v>
      </x:c>
      <x:c r="I133" s="1">
        <x:v>10.0</x:v>
      </x:c>
      <x:c r="J133" s="1">
        <x:v>1.27</x:v>
      </x:c>
      <x:c r="K133" s="1" t="s">
        <x:v>37</x:v>
      </x:c>
      <x:c r="L133" s="10" t="s">
        <x:v>41</x:v>
      </x:c>
      <x:c r="M133" s="1">
        <x:v>0.0</x:v>
      </x:c>
      <x:c r="N133" s="1">
        <x:v>-10.0</x:v>
      </x:c>
      <x:c r="O133" s="1">
        <x:v>-1.0</x:v>
      </x:c>
      <x:c r="P133" s="1" t="s">
        <x:v>26</x:v>
      </x:c>
      <x:c r="Q133" s="1" t="s">
        <x:v>100</x:v>
      </x:c>
    </x:row>
    <x:row r="134" ht="15.75" customHeight="1">
      <x:c r="A134" s="10" t="s">
        <x:v>394</x:v>
      </x:c>
      <x:c r="B134" s="10" t="s">
        <x:v>395</x:v>
      </x:c>
      <x:c r="C134" s="1" t="s">
        <x:v>18</x:v>
      </x:c>
      <x:c r="D134" s="1" t="s">
        <x:v>19</x:v>
      </x:c>
      <x:c r="E134" s="1" t="s">
        <x:v>396</x:v>
      </x:c>
      <x:c r="F134" s="1" t="s">
        <x:v>354</x:v>
      </x:c>
      <x:c r="G134" s="1" t="s">
        <x:v>397</x:v>
      </x:c>
      <x:c r="H134" s="1" t="s">
        <x:v>393</x:v>
      </x:c>
      <x:c r="I134" s="1">
        <x:v>10.0</x:v>
      </x:c>
      <x:c r="J134" s="1">
        <x:v>1.26</x:v>
      </x:c>
      <x:c r="K134" s="1" t="s">
        <x:v>24</x:v>
      </x:c>
      <x:c r="L134" s="10" t="s">
        <x:v>38</x:v>
      </x:c>
      <x:c r="M134" s="1">
        <x:v>12.6</x:v>
      </x:c>
      <x:c r="N134" s="1">
        <x:v>2.6</x:v>
      </x:c>
      <x:c r="O134" s="1">
        <x:v>0.26</x:v>
      </x:c>
      <x:c r="P134" s="1" t="s">
        <x:v>26</x:v>
      </x:c>
      <x:c r="Q134" s="1" t="s">
        <x:v>100</x:v>
      </x:c>
    </x:row>
    <x:row r="135" ht="15.75" customHeight="1">
      <x:c r="A135" s="10" t="s">
        <x:v>398</x:v>
      </x:c>
      <x:c r="B135" s="10" t="s">
        <x:v>399</x:v>
      </x:c>
      <x:c r="C135" s="1" t="s">
        <x:v>18</x:v>
      </x:c>
      <x:c r="D135" s="1" t="s">
        <x:v>19</x:v>
      </x:c>
      <x:c r="E135" s="1" t="s">
        <x:v>400</x:v>
      </x:c>
      <x:c r="F135" s="1" t="s">
        <x:v>354</x:v>
      </x:c>
      <x:c r="G135" s="1" t="s">
        <x:v>401</x:v>
      </x:c>
      <x:c r="H135" s="1" t="s">
        <x:v>393</x:v>
      </x:c>
      <x:c r="I135" s="1">
        <x:v>10.0</x:v>
      </x:c>
      <x:c r="J135" s="1">
        <x:v>1.19</x:v>
      </x:c>
      <x:c r="K135" s="1" t="s">
        <x:v>24</x:v>
      </x:c>
      <x:c r="L135" s="10" t="s">
        <x:v>38</x:v>
      </x:c>
      <x:c r="M135" s="1">
        <x:v>11.9</x:v>
      </x:c>
      <x:c r="N135" s="1">
        <x:v>1.9</x:v>
      </x:c>
      <x:c r="O135" s="1">
        <x:v>0.19</x:v>
      </x:c>
      <x:c r="P135" s="1" t="s">
        <x:v>26</x:v>
      </x:c>
      <x:c r="Q135" s="1" t="s">
        <x:v>100</x:v>
      </x:c>
    </x:row>
    <x:row r="136" ht="15.75" customHeight="1">
      <x:c r="A136" s="10" t="s">
        <x:v>402</x:v>
      </x:c>
      <x:c r="B136" s="10" t="s">
        <x:v>403</x:v>
      </x:c>
      <x:c r="C136" s="1" t="s">
        <x:v>18</x:v>
      </x:c>
      <x:c r="D136" s="1" t="s">
        <x:v>19</x:v>
      </x:c>
      <x:c r="E136" s="1" t="s">
        <x:v>404</x:v>
      </x:c>
      <x:c r="F136" s="1" t="s">
        <x:v>78</x:v>
      </x:c>
      <x:c r="G136" s="1" t="s">
        <x:v>261</x:v>
      </x:c>
      <x:c r="H136" s="1" t="s">
        <x:v>104</x:v>
      </x:c>
      <x:c r="I136" s="1">
        <x:v>10.0</x:v>
      </x:c>
      <x:c r="J136" s="1">
        <x:v>1.36</x:v>
      </x:c>
      <x:c r="K136" s="1" t="s">
        <x:v>24</x:v>
      </x:c>
      <x:c r="M136" s="1">
        <x:v>13.6</x:v>
      </x:c>
      <x:c r="N136" s="1">
        <x:v>3.6</x:v>
      </x:c>
      <x:c r="O136" s="1">
        <x:v>0.36</x:v>
      </x:c>
      <x:c r="P136" s="1" t="s">
        <x:v>26</x:v>
      </x:c>
      <x:c r="Q136" s="1" t="s">
        <x:v>118</x:v>
      </x:c>
    </x:row>
    <x:row r="137" ht="15.75" customHeight="1">
      <x:c r="A137" s="10" t="s">
        <x:v>405</x:v>
      </x:c>
      <x:c r="B137" s="10" t="s">
        <x:v>406</x:v>
      </x:c>
      <x:c r="C137" s="1" t="s">
        <x:v>18</x:v>
      </x:c>
      <x:c r="D137" s="1" t="s">
        <x:v>19</x:v>
      </x:c>
      <x:c r="E137" s="1" t="s">
        <x:v>400</x:v>
      </x:c>
      <x:c r="F137" s="1" t="s">
        <x:v>21</x:v>
      </x:c>
      <x:c r="G137" s="1" t="s">
        <x:v>34</x:v>
      </x:c>
      <x:c r="H137" s="1" t="s">
        <x:v>34</x:v>
      </x:c>
      <x:c r="I137" s="1">
        <x:v>5.0</x:v>
      </x:c>
      <x:c r="J137" s="1">
        <x:v>2.92</x:v>
      </x:c>
      <x:c r="K137" s="1" t="s">
        <x:v>37</x:v>
      </x:c>
      <x:c r="L137" s="10" t="s">
        <x:v>38</x:v>
      </x:c>
      <x:c r="M137" s="1">
        <x:v>0.0</x:v>
      </x:c>
      <x:c r="N137" s="1">
        <x:v>-5.0</x:v>
      </x:c>
      <x:c r="O137" s="1">
        <x:v>-1.0</x:v>
      </x:c>
      <x:c r="P137" s="1" t="s">
        <x:v>26</x:v>
      </x:c>
      <x:c r="Q137" s="1" t="s">
        <x:v>100</x:v>
      </x:c>
    </x:row>
    <x:row r="138" ht="15.75" customHeight="1">
      <x:c r="A138" s="10" t="s">
        <x:v>407</x:v>
      </x:c>
      <x:c r="B138" s="10" t="s">
        <x:v>403</x:v>
      </x:c>
      <x:c r="C138" s="1" t="s">
        <x:v>18</x:v>
      </x:c>
      <x:c r="D138" s="1" t="s">
        <x:v>19</x:v>
      </x:c>
      <x:c r="E138" s="1" t="s">
        <x:v>408</x:v>
      </x:c>
      <x:c r="F138" s="1" t="s">
        <x:v>354</x:v>
      </x:c>
      <x:c r="G138" s="1" t="s">
        <x:v>409</x:v>
      </x:c>
      <x:c r="H138" s="1" t="s">
        <x:v>393</x:v>
      </x:c>
      <x:c r="I138" s="1">
        <x:v>10.0</x:v>
      </x:c>
      <x:c r="J138" s="1">
        <x:v>1.57</x:v>
      </x:c>
      <x:c r="K138" s="1" t="s">
        <x:v>24</x:v>
      </x:c>
      <x:c r="L138" s="10" t="s">
        <x:v>38</x:v>
      </x:c>
      <x:c r="M138" s="1">
        <x:v>15.7</x:v>
      </x:c>
      <x:c r="N138" s="1">
        <x:v>5.7</x:v>
      </x:c>
      <x:c r="O138" s="1">
        <x:v>0.57</x:v>
      </x:c>
      <x:c r="P138" s="1" t="s">
        <x:v>26</x:v>
      </x:c>
      <x:c r="Q138" s="1" t="s">
        <x:v>118</x:v>
      </x:c>
    </x:row>
    <x:row r="139" ht="15.75" customHeight="1">
      <x:c r="A139" s="10" t="s">
        <x:v>410</x:v>
      </x:c>
      <x:c r="B139" s="10" t="s">
        <x:v>411</x:v>
      </x:c>
      <x:c r="C139" s="1" t="s">
        <x:v>18</x:v>
      </x:c>
      <x:c r="D139" s="1" t="s">
        <x:v>19</x:v>
      </x:c>
      <x:c r="E139" s="1" t="s">
        <x:v>412</x:v>
      </x:c>
      <x:c r="F139" s="1" t="s">
        <x:v>78</x:v>
      </x:c>
      <x:c r="G139" s="1" t="s">
        <x:v>413</x:v>
      </x:c>
      <x:c r="H139" s="1" t="s">
        <x:v>80</x:v>
      </x:c>
      <x:c r="I139" s="1">
        <x:v>10.0</x:v>
      </x:c>
      <x:c r="J139" s="1">
        <x:v>1.6</x:v>
      </x:c>
      <x:c r="K139" s="1" t="s">
        <x:v>24</x:v>
      </x:c>
      <x:c r="L139" s="1" t="s">
        <x:v>35</x:v>
      </x:c>
      <x:c r="M139" s="1">
        <x:v>16.0</x:v>
      </x:c>
      <x:c r="N139" s="1">
        <x:v>6.0</x:v>
      </x:c>
      <x:c r="O139" s="1">
        <x:v>0.6</x:v>
      </x:c>
      <x:c r="P139" s="1" t="s">
        <x:v>26</x:v>
      </x:c>
      <x:c r="Q139" s="1" t="s">
        <x:v>100</x:v>
      </x:c>
    </x:row>
    <x:row r="140" ht="15.75" customHeight="1">
      <x:c r="A140" s="10" t="s">
        <x:v>414</x:v>
      </x:c>
      <x:c r="B140" s="10" t="s">
        <x:v>415</x:v>
      </x:c>
      <x:c r="C140" s="1" t="s">
        <x:v>18</x:v>
      </x:c>
      <x:c r="D140" s="1" t="s">
        <x:v>19</x:v>
      </x:c>
      <x:c r="E140" s="1" t="s">
        <x:v>416</x:v>
      </x:c>
      <x:c r="F140" s="1" t="s">
        <x:v>417</x:v>
      </x:c>
      <x:c r="G140" s="1" t="s">
        <x:v>221</x:v>
      </x:c>
      <x:c r="H140" s="1" t="s">
        <x:v>80</x:v>
      </x:c>
      <x:c r="I140" s="1">
        <x:v>10.0</x:v>
      </x:c>
      <x:c r="J140" s="1">
        <x:v>1.34</x:v>
      </x:c>
      <x:c r="K140" s="1" t="s">
        <x:v>24</x:v>
      </x:c>
      <x:c r="M140" s="1">
        <x:v>13.4</x:v>
      </x:c>
      <x:c r="N140" s="1">
        <x:v>3.4</x:v>
      </x:c>
      <x:c r="O140" s="1">
        <x:v>0.34</x:v>
      </x:c>
      <x:c r="P140" s="1" t="s">
        <x:v>26</x:v>
      </x:c>
      <x:c r="Q140" s="1" t="s">
        <x:v>100</x:v>
      </x:c>
    </x:row>
    <x:row r="141" ht="15.75" customHeight="1">
      <x:c r="A141" s="10" t="s">
        <x:v>418</x:v>
      </x:c>
      <x:c r="B141" s="10" t="s">
        <x:v>419</x:v>
      </x:c>
      <x:c r="C141" s="1" t="s">
        <x:v>18</x:v>
      </x:c>
      <x:c r="D141" s="1" t="s">
        <x:v>19</x:v>
      </x:c>
      <x:c r="E141" s="1" t="s">
        <x:v>420</x:v>
      </x:c>
      <x:c r="F141" s="1" t="s">
        <x:v>417</x:v>
      </x:c>
      <x:c r="G141" s="1" t="s">
        <x:v>221</x:v>
      </x:c>
      <x:c r="H141" s="1" t="s">
        <x:v>80</x:v>
      </x:c>
      <x:c r="I141" s="1">
        <x:v>10.0</x:v>
      </x:c>
      <x:c r="J141" s="1">
        <x:v>1.75</x:v>
      </x:c>
      <x:c r="K141" s="1" t="s">
        <x:v>37</x:v>
      </x:c>
      <x:c r="M141" s="1">
        <x:v>0.0</x:v>
      </x:c>
      <x:c r="N141" s="1">
        <x:v>-10.0</x:v>
      </x:c>
      <x:c r="O141" s="1">
        <x:v>-1.0</x:v>
      </x:c>
      <x:c r="P141" s="1" t="s">
        <x:v>26</x:v>
      </x:c>
      <x:c r="Q141" s="1" t="s">
        <x:v>100</x:v>
      </x:c>
    </x:row>
    <x:row r="142" ht="15.75" customHeight="1">
      <x:c r="A142" s="10" t="s">
        <x:v>421</x:v>
      </x:c>
      <x:c r="B142" s="10" t="s">
        <x:v>422</x:v>
      </x:c>
      <x:c r="C142" s="1" t="s">
        <x:v>18</x:v>
      </x:c>
      <x:c r="D142" s="1" t="s">
        <x:v>19</x:v>
      </x:c>
      <x:c r="E142" s="1" t="s">
        <x:v>423</x:v>
      </x:c>
      <x:c r="F142" s="1" t="s">
        <x:v>354</x:v>
      </x:c>
      <x:c r="G142" s="1" t="s">
        <x:v>424</x:v>
      </x:c>
      <x:c r="H142" s="1" t="s">
        <x:v>365</x:v>
      </x:c>
      <x:c r="I142" s="1">
        <x:v>10.0</x:v>
      </x:c>
      <x:c r="J142" s="1">
        <x:v>1.87</x:v>
      </x:c>
      <x:c r="K142" s="1" t="s">
        <x:v>24</x:v>
      </x:c>
      <x:c r="L142" s="10" t="s">
        <x:v>425</x:v>
      </x:c>
      <x:c r="M142" s="1">
        <x:v>18.7</x:v>
      </x:c>
      <x:c r="N142" s="1">
        <x:v>8.7</x:v>
      </x:c>
      <x:c r="O142" s="1">
        <x:v>0.87</x:v>
      </x:c>
      <x:c r="P142" s="1" t="s">
        <x:v>26</x:v>
      </x:c>
      <x:c r="Q142" s="1" t="s">
        <x:v>426</x:v>
      </x:c>
      <x:c r="R142" s="1" t="s">
        <x:v>70</x:v>
      </x:c>
    </x:row>
    <x:row r="143" ht="15.75" customHeight="1">
      <x:c r="A143" s="10" t="s">
        <x:v>427</x:v>
      </x:c>
      <x:c r="B143" s="10" t="s">
        <x:v>428</x:v>
      </x:c>
      <x:c r="C143" s="1" t="s">
        <x:v>18</x:v>
      </x:c>
      <x:c r="D143" s="1" t="s">
        <x:v>19</x:v>
      </x:c>
      <x:c r="E143" s="1" t="s">
        <x:v>429</x:v>
      </x:c>
      <x:c r="F143" s="1" t="s">
        <x:v>354</x:v>
      </x:c>
      <x:c r="G143" s="1" t="s">
        <x:v>430</x:v>
      </x:c>
      <x:c r="H143" s="1" t="s">
        <x:v>365</x:v>
      </x:c>
      <x:c r="I143" s="1">
        <x:v>10.0</x:v>
      </x:c>
      <x:c r="J143" s="1">
        <x:v>1.9</x:v>
      </x:c>
      <x:c r="K143" s="1" t="s">
        <x:v>24</x:v>
      </x:c>
      <x:c r="L143" s="1" t="s">
        <x:v>431</x:v>
      </x:c>
      <x:c r="M143" s="1">
        <x:v>19.0</x:v>
      </x:c>
      <x:c r="N143" s="1">
        <x:v>9.0</x:v>
      </x:c>
      <x:c r="O143" s="1">
        <x:v>0.9</x:v>
      </x:c>
      <x:c r="P143" s="1" t="s">
        <x:v>26</x:v>
      </x:c>
      <x:c r="Q143" s="1" t="s">
        <x:v>426</x:v>
      </x:c>
      <x:c r="R143" s="1" t="s">
        <x:v>70</x:v>
      </x:c>
    </x:row>
    <x:row r="144" ht="15.75" customHeight="1">
      <x:c r="A144" s="10" t="s">
        <x:v>432</x:v>
      </x:c>
      <x:c r="B144" s="10" t="s">
        <x:v>433</x:v>
      </x:c>
      <x:c r="C144" s="1" t="s">
        <x:v>18</x:v>
      </x:c>
      <x:c r="D144" s="1" t="s">
        <x:v>19</x:v>
      </x:c>
      <x:c r="E144" s="1" t="s">
        <x:v>434</x:v>
      </x:c>
      <x:c r="F144" s="1" t="s">
        <x:v>354</x:v>
      </x:c>
      <x:c r="G144" s="1" t="s">
        <x:v>435</x:v>
      </x:c>
      <x:c r="H144" s="1" t="s">
        <x:v>436</x:v>
      </x:c>
      <x:c r="I144" s="1">
        <x:v>10.0</x:v>
      </x:c>
      <x:c r="J144" s="1">
        <x:v>1.5</x:v>
      </x:c>
      <x:c r="K144" s="1" t="s">
        <x:v>24</x:v>
      </x:c>
      <x:c r="L144" s="1" t="s">
        <x:v>32</x:v>
      </x:c>
      <x:c r="M144" s="1">
        <x:v>15.0</x:v>
      </x:c>
      <x:c r="N144" s="1">
        <x:v>5.0</x:v>
      </x:c>
      <x:c r="O144" s="1">
        <x:v>0.5</x:v>
      </x:c>
      <x:c r="P144" s="1" t="s">
        <x:v>26</x:v>
      </x:c>
      <x:c r="Q144" s="1" t="s">
        <x:v>426</x:v>
      </x:c>
      <x:c r="R144" s="1" t="s">
        <x:v>70</x:v>
      </x:c>
    </x:row>
    <x:row r="145" ht="15.75" customHeight="1">
      <x:c r="A145" s="10" t="s">
        <x:v>437</x:v>
      </x:c>
      <x:c r="B145" s="10" t="s">
        <x:v>438</x:v>
      </x:c>
      <x:c r="C145" s="1" t="s">
        <x:v>18</x:v>
      </x:c>
      <x:c r="D145" s="1" t="s">
        <x:v>19</x:v>
      </x:c>
      <x:c r="E145" s="1" t="s">
        <x:v>439</x:v>
      </x:c>
      <x:c r="F145" s="1" t="s">
        <x:v>186</x:v>
      </x:c>
      <x:c r="G145" s="1" t="s">
        <x:v>440</x:v>
      </x:c>
      <x:c r="H145" s="1" t="s">
        <x:v>23</x:v>
      </x:c>
      <x:c r="I145" s="1">
        <x:v>10.0</x:v>
      </x:c>
      <x:c r="J145" s="1">
        <x:v>1.44</x:v>
      </x:c>
      <x:c r="K145" s="1" t="s">
        <x:v>24</x:v>
      </x:c>
      <x:c r="L145" s="1" t="s">
        <x:v>25</x:v>
      </x:c>
      <x:c r="M145" s="1">
        <x:v>14.4</x:v>
      </x:c>
      <x:c r="N145" s="1">
        <x:v>4.4</x:v>
      </x:c>
      <x:c r="O145" s="1">
        <x:v>0.44</x:v>
      </x:c>
      <x:c r="P145" s="1" t="s">
        <x:v>61</x:v>
      </x:c>
      <x:c r="Q145" s="1" t="s">
        <x:v>187</x:v>
      </x:c>
      <x:c r="R145" s="1" t="s">
        <x:v>70</x:v>
      </x:c>
    </x:row>
    <x:row r="146" ht="15.75" customHeight="1">
      <x:c r="A146" s="10" t="s">
        <x:v>441</x:v>
      </x:c>
      <x:c r="B146" s="10" t="s">
        <x:v>442</x:v>
      </x:c>
      <x:c r="C146" s="1" t="s">
        <x:v>18</x:v>
      </x:c>
      <x:c r="D146" s="1" t="s">
        <x:v>19</x:v>
      </x:c>
      <x:c r="E146" s="1" t="s">
        <x:v>443</x:v>
      </x:c>
      <x:c r="F146" s="1" t="s">
        <x:v>186</x:v>
      </x:c>
      <x:c r="G146" s="1" t="s">
        <x:v>444</x:v>
      </x:c>
      <x:c r="H146" s="1" t="s">
        <x:v>23</x:v>
      </x:c>
      <x:c r="I146" s="1">
        <x:v>10.0</x:v>
      </x:c>
      <x:c r="J146" s="1">
        <x:v>1.91</x:v>
      </x:c>
      <x:c r="K146" s="1" t="s">
        <x:v>24</x:v>
      </x:c>
      <x:c r="L146" s="10" t="s">
        <x:v>46</x:v>
      </x:c>
      <x:c r="M146" s="1">
        <x:v>19.1</x:v>
      </x:c>
      <x:c r="N146" s="1">
        <x:v>9.1</x:v>
      </x:c>
      <x:c r="O146" s="1">
        <x:v>0.91</x:v>
      </x:c>
      <x:c r="P146" s="1" t="s">
        <x:v>61</x:v>
      </x:c>
      <x:c r="Q146" s="1" t="s">
        <x:v>187</x:v>
      </x:c>
      <x:c r="R146" s="1" t="s">
        <x:v>70</x:v>
      </x:c>
    </x:row>
    <x:row r="147" ht="15.75" customHeight="1">
      <x:c r="A147" s="10" t="s">
        <x:v>445</x:v>
      </x:c>
      <x:c r="B147" s="10" t="s">
        <x:v>442</x:v>
      </x:c>
      <x:c r="C147" s="1" t="s">
        <x:v>18</x:v>
      </x:c>
      <x:c r="D147" s="1" t="s">
        <x:v>19</x:v>
      </x:c>
      <x:c r="E147" s="1" t="s">
        <x:v>446</x:v>
      </x:c>
      <x:c r="F147" s="1" t="s">
        <x:v>186</x:v>
      </x:c>
      <x:c r="G147" s="1" t="s">
        <x:v>447</x:v>
      </x:c>
      <x:c r="H147" s="1" t="s">
        <x:v>23</x:v>
      </x:c>
      <x:c r="I147" s="1">
        <x:v>10.0</x:v>
      </x:c>
      <x:c r="J147" s="1">
        <x:v>1.6</x:v>
      </x:c>
      <x:c r="K147" s="1" t="s">
        <x:v>24</x:v>
      </x:c>
      <x:c r="L147" s="10" t="s">
        <x:v>128</x:v>
      </x:c>
      <x:c r="M147" s="1">
        <x:v>16.0</x:v>
      </x:c>
      <x:c r="N147" s="1">
        <x:v>6.0</x:v>
      </x:c>
      <x:c r="O147" s="1">
        <x:v>0.6</x:v>
      </x:c>
      <x:c r="P147" s="1" t="s">
        <x:v>61</x:v>
      </x:c>
      <x:c r="Q147" s="1" t="s">
        <x:v>187</x:v>
      </x:c>
      <x:c r="R147" s="1" t="s">
        <x:v>70</x:v>
      </x:c>
    </x:row>
    <x:row r="148" ht="15.75" customHeight="1">
      <x:c r="A148" s="10" t="s">
        <x:v>448</x:v>
      </x:c>
      <x:c r="B148" s="10" t="s">
        <x:v>449</x:v>
      </x:c>
      <x:c r="C148" s="1" t="s">
        <x:v>18</x:v>
      </x:c>
      <x:c r="D148" s="1" t="s">
        <x:v>19</x:v>
      </x:c>
      <x:c r="E148" s="1" t="s">
        <x:v>450</x:v>
      </x:c>
      <x:c r="F148" s="1" t="s">
        <x:v>186</x:v>
      </x:c>
      <x:c r="G148" s="1" t="s">
        <x:v>451</x:v>
      </x:c>
      <x:c r="H148" s="1" t="s">
        <x:v>23</x:v>
      </x:c>
      <x:c r="I148" s="1">
        <x:v>10.0</x:v>
      </x:c>
      <x:c r="J148" s="1">
        <x:v>2.27</x:v>
      </x:c>
      <x:c r="K148" s="1" t="s">
        <x:v>37</x:v>
      </x:c>
      <x:c r="L148" s="10" t="s">
        <x:v>452</x:v>
      </x:c>
      <x:c r="M148" s="1">
        <x:v>9.12</x:v>
      </x:c>
      <x:c r="N148" s="1">
        <x:v>-0.88</x:v>
      </x:c>
      <x:c r="O148" s="1">
        <x:v>-0.088</x:v>
      </x:c>
      <x:c r="P148" s="1" t="s">
        <x:v>61</x:v>
      </x:c>
      <x:c r="Q148" s="1" t="s">
        <x:v>453</x:v>
      </x:c>
      <x:c r="R148" s="1" t="s">
        <x:v>70</x:v>
      </x:c>
    </x:row>
    <x:row r="149" ht="15.75" customHeight="1">
      <x:c r="A149" s="10" t="s">
        <x:v>454</x:v>
      </x:c>
      <x:c r="B149" s="10" t="s">
        <x:v>449</x:v>
      </x:c>
      <x:c r="C149" s="1" t="s">
        <x:v>18</x:v>
      </x:c>
      <x:c r="D149" s="1" t="s">
        <x:v>19</x:v>
      </x:c>
      <x:c r="E149" s="1" t="s">
        <x:v>455</x:v>
      </x:c>
      <x:c r="F149" s="1" t="s">
        <x:v>186</x:v>
      </x:c>
      <x:c r="G149" s="1" t="s">
        <x:v>22</x:v>
      </x:c>
      <x:c r="H149" s="1" t="s">
        <x:v>23</x:v>
      </x:c>
      <x:c r="I149" s="1">
        <x:v>10.0</x:v>
      </x:c>
      <x:c r="J149" s="1">
        <x:v>2.12</x:v>
      </x:c>
      <x:c r="K149" s="1" t="s">
        <x:v>37</x:v>
      </x:c>
      <x:c r="L149" s="10" t="s">
        <x:v>44</x:v>
      </x:c>
      <x:c r="M149" s="1">
        <x:v>8.95</x:v>
      </x:c>
      <x:c r="N149" s="1">
        <x:v>-1.05</x:v>
      </x:c>
      <x:c r="O149" s="1">
        <x:v>-0.105</x:v>
      </x:c>
      <x:c r="P149" s="1" t="s">
        <x:v>61</x:v>
      </x:c>
      <x:c r="Q149" s="1" t="s">
        <x:v>453</x:v>
      </x:c>
      <x:c r="R149" s="1" t="s">
        <x:v>70</x:v>
      </x:c>
    </x:row>
    <x:row r="150" ht="15.75" customHeight="1">
      <x:c r="A150" s="10" t="s">
        <x:v>456</x:v>
      </x:c>
      <x:c r="B150" s="10" t="s">
        <x:v>457</x:v>
      </x:c>
      <x:c r="C150" s="1" t="s">
        <x:v>18</x:v>
      </x:c>
      <x:c r="D150" s="1" t="s">
        <x:v>19</x:v>
      </x:c>
      <x:c r="E150" s="1" t="s">
        <x:v>458</x:v>
      </x:c>
      <x:c r="F150" s="1" t="s">
        <x:v>186</x:v>
      </x:c>
      <x:c r="G150" s="1" t="s">
        <x:v>53</x:v>
      </x:c>
      <x:c r="H150" s="1" t="s">
        <x:v>23</x:v>
      </x:c>
      <x:c r="I150" s="1">
        <x:v>10.0</x:v>
      </x:c>
      <x:c r="J150" s="1">
        <x:v>1.45</x:v>
      </x:c>
      <x:c r="K150" s="1" t="s">
        <x:v>24</x:v>
      </x:c>
      <x:c r="L150" s="1" t="s">
        <x:v>64</x:v>
      </x:c>
      <x:c r="M150" s="1">
        <x:v>10.23</x:v>
      </x:c>
      <x:c r="N150" s="1">
        <x:v>0.23</x:v>
      </x:c>
      <x:c r="O150" s="1">
        <x:v>0.023</x:v>
      </x:c>
      <x:c r="P150" s="1" t="s">
        <x:v>61</x:v>
      </x:c>
      <x:c r="Q150" s="1" t="s">
        <x:v>459</x:v>
      </x:c>
      <x:c r="R150" s="1" t="s">
        <x:v>70</x:v>
      </x:c>
    </x:row>
    <x:row r="151" ht="15.75" customHeight="1">
      <x:c r="A151" s="10" t="s">
        <x:v>460</x:v>
      </x:c>
      <x:c r="B151" s="10" t="s">
        <x:v>461</x:v>
      </x:c>
      <x:c r="C151" s="1" t="s">
        <x:v>18</x:v>
      </x:c>
      <x:c r="D151" s="1" t="s">
        <x:v>19</x:v>
      </x:c>
      <x:c r="E151" s="1" t="s">
        <x:v>450</x:v>
      </x:c>
      <x:c r="F151" s="1" t="s">
        <x:v>234</x:v>
      </x:c>
      <x:c r="G151" s="1" t="s">
        <x:v>61</x:v>
      </x:c>
      <x:c r="H151" s="1" t="s">
        <x:v>350</x:v>
      </x:c>
      <x:c r="I151" s="1">
        <x:v>37.0</x:v>
      </x:c>
      <x:c r="J151" s="1">
        <x:v>1.91</x:v>
      </x:c>
      <x:c r="K151" s="1" t="s">
        <x:v>24</x:v>
      </x:c>
      <x:c r="L151" s="10" t="s">
        <x:v>452</x:v>
      </x:c>
      <x:c r="M151" s="1">
        <x:v>70.67</x:v>
      </x:c>
      <x:c r="N151" s="1">
        <x:v>33.67</x:v>
      </x:c>
      <x:c r="O151" s="1">
        <x:v>0.91</x:v>
      </x:c>
      <x:c r="P151" s="1" t="s">
        <x:v>26</x:v>
      </x:c>
      <x:c r="Q151" s="1" t="s">
        <x:v>187</x:v>
      </x:c>
      <x:c r="R151" s="1" t="s">
        <x:v>70</x:v>
      </x:c>
    </x:row>
    <x:row r="152" ht="15.75" customHeight="1">
      <x:c r="A152" s="1" t="s">
        <x:v>462</x:v>
      </x:c>
      <x:c r="B152" s="10" t="s">
        <x:v>463</x:v>
      </x:c>
      <x:c r="C152" s="1" t="s">
        <x:v>18</x:v>
      </x:c>
      <x:c r="D152" s="1" t="s">
        <x:v>19</x:v>
      </x:c>
      <x:c r="E152" s="1" t="s">
        <x:v>455</x:v>
      </x:c>
      <x:c r="F152" s="1" t="s">
        <x:v>354</x:v>
      </x:c>
      <x:c r="G152" s="1" t="s">
        <x:v>464</x:v>
      </x:c>
      <x:c r="H152" s="1" t="s">
        <x:v>465</x:v>
      </x:c>
      <x:c r="I152" s="1">
        <x:v>10.0</x:v>
      </x:c>
      <x:c r="J152" s="1">
        <x:v>1.93</x:v>
      </x:c>
      <x:c r="K152" s="1" t="s">
        <x:v>24</x:v>
      </x:c>
      <x:c r="L152" s="10" t="s">
        <x:v>44</x:v>
      </x:c>
      <x:c r="M152" s="1">
        <x:v>19.3</x:v>
      </x:c>
      <x:c r="N152" s="1">
        <x:v>9.3</x:v>
      </x:c>
      <x:c r="O152" s="1">
        <x:v>0.93</x:v>
      </x:c>
      <x:c r="P152" s="1" t="s">
        <x:v>26</x:v>
      </x:c>
      <x:c r="Q152" s="1" t="s">
        <x:v>466</x:v>
      </x:c>
      <x:c r="R152" s="1" t="s">
        <x:v>70</x:v>
      </x:c>
    </x:row>
    <x:row r="153" ht="15.75" customHeight="1">
      <x:c r="A153" s="1" t="s">
        <x:v>467</x:v>
      </x:c>
      <x:c r="B153" s="10" t="s">
        <x:v>463</x:v>
      </x:c>
      <x:c r="C153" s="1" t="s">
        <x:v>18</x:v>
      </x:c>
      <x:c r="D153" s="1" t="s">
        <x:v>19</x:v>
      </x:c>
      <x:c r="E153" s="1" t="s">
        <x:v>443</x:v>
      </x:c>
      <x:c r="F153" s="1" t="s">
        <x:v>354</x:v>
      </x:c>
      <x:c r="G153" s="1" t="s">
        <x:v>468</x:v>
      </x:c>
      <x:c r="H153" s="1" t="s">
        <x:v>393</x:v>
      </x:c>
      <x:c r="I153" s="1">
        <x:v>4.9</x:v>
      </x:c>
      <x:c r="J153" s="1">
        <x:v>1.5</x:v>
      </x:c>
      <x:c r="K153" s="1" t="s">
        <x:v>37</x:v>
      </x:c>
      <x:c r="L153" s="10" t="s">
        <x:v>46</x:v>
      </x:c>
      <x:c r="M153" s="1">
        <x:v>0.0</x:v>
      </x:c>
      <x:c r="N153" s="1">
        <x:v>-4.9</x:v>
      </x:c>
      <x:c r="O153" s="1">
        <x:v>-1.0</x:v>
      </x:c>
      <x:c r="P153" s="1" t="s">
        <x:v>26</x:v>
      </x:c>
      <x:c r="Q153" s="1" t="s">
        <x:v>466</x:v>
      </x:c>
      <x:c r="R153" s="1" t="s">
        <x:v>70</x:v>
      </x:c>
    </x:row>
    <x:row r="154" ht="15.75" customHeight="1">
      <x:c r="A154" s="10" t="s">
        <x:v>469</x:v>
      </x:c>
      <x:c r="B154" s="10" t="s">
        <x:v>470</x:v>
      </x:c>
      <x:c r="C154" s="1" t="s">
        <x:v>18</x:v>
      </x:c>
      <x:c r="D154" s="1" t="s">
        <x:v>19</x:v>
      </x:c>
      <x:c r="E154" s="1" t="s">
        <x:v>471</x:v>
      </x:c>
      <x:c r="F154" s="1" t="s">
        <x:v>354</x:v>
      </x:c>
      <x:c r="G154" s="1" t="s">
        <x:v>468</x:v>
      </x:c>
      <x:c r="H154" s="1" t="s">
        <x:v>393</x:v>
      </x:c>
      <x:c r="I154" s="1">
        <x:v>10.0</x:v>
      </x:c>
      <x:c r="J154" s="1">
        <x:v>1.4</x:v>
      </x:c>
      <x:c r="K154" s="1" t="s">
        <x:v>37</x:v>
      </x:c>
      <x:c r="L154" s="1" t="s">
        <x:v>25</x:v>
      </x:c>
      <x:c r="M154" s="1">
        <x:v>9.13</x:v>
      </x:c>
      <x:c r="N154" s="1">
        <x:v>-0.87</x:v>
      </x:c>
      <x:c r="O154" s="1">
        <x:v>-0.087</x:v>
      </x:c>
      <x:c r="P154" s="1" t="s">
        <x:v>26</x:v>
      </x:c>
      <x:c r="Q154" s="1" t="s">
        <x:v>453</x:v>
      </x:c>
      <x:c r="R154" s="1" t="s">
        <x:v>70</x:v>
      </x:c>
    </x:row>
    <x:row r="155" ht="15.75" customHeight="1">
      <x:c r="A155" s="10" t="s">
        <x:v>472</x:v>
      </x:c>
      <x:c r="B155" s="10" t="s">
        <x:v>473</x:v>
      </x:c>
      <x:c r="C155" s="1" t="s">
        <x:v>18</x:v>
      </x:c>
      <x:c r="D155" s="1" t="s">
        <x:v>19</x:v>
      </x:c>
      <x:c r="E155" s="1" t="s">
        <x:v>471</x:v>
      </x:c>
      <x:c r="F155" s="1" t="s">
        <x:v>234</x:v>
      </x:c>
      <x:c r="G155" s="1" t="s">
        <x:v>61</x:v>
      </x:c>
      <x:c r="H155" s="1" t="s">
        <x:v>350</x:v>
      </x:c>
      <x:c r="I155" s="1">
        <x:v>10.0</x:v>
      </x:c>
      <x:c r="J155" s="1">
        <x:v>1.98</x:v>
      </x:c>
      <x:c r="K155" s="1" t="s">
        <x:v>37</x:v>
      </x:c>
      <x:c r="L155" s="1" t="s">
        <x:v>25</x:v>
      </x:c>
      <x:c r="M155" s="1">
        <x:v>0.0</x:v>
      </x:c>
      <x:c r="N155" s="1">
        <x:v>-10.0</x:v>
      </x:c>
      <x:c r="O155" s="1">
        <x:v>-1.0</x:v>
      </x:c>
      <x:c r="P155" s="1" t="s">
        <x:v>26</x:v>
      </x:c>
      <x:c r="Q155" s="1" t="s">
        <x:v>187</x:v>
      </x:c>
      <x:c r="R155" s="1" t="s">
        <x:v>70</x:v>
      </x:c>
    </x:row>
    <x:row r="156" ht="15.75" customHeight="1">
      <x:c r="A156" s="10" t="s">
        <x:v>474</x:v>
      </x:c>
      <x:c r="B156" s="10" t="s">
        <x:v>475</x:v>
      </x:c>
      <x:c r="C156" s="1" t="s">
        <x:v>18</x:v>
      </x:c>
      <x:c r="D156" s="1" t="s">
        <x:v>19</x:v>
      </x:c>
      <x:c r="E156" s="1" t="s">
        <x:v>458</x:v>
      </x:c>
      <x:c r="F156" s="1" t="s">
        <x:v>354</x:v>
      </x:c>
      <x:c r="G156" s="1" t="s">
        <x:v>476</x:v>
      </x:c>
      <x:c r="H156" s="1" t="s">
        <x:v>465</x:v>
      </x:c>
      <x:c r="I156" s="1">
        <x:v>10.0</x:v>
      </x:c>
      <x:c r="J156" s="1">
        <x:v>2.12</x:v>
      </x:c>
      <x:c r="K156" s="1" t="s">
        <x:v>37</x:v>
      </x:c>
      <x:c r="L156" s="1" t="s">
        <x:v>64</x:v>
      </x:c>
      <x:c r="M156" s="1">
        <x:v>0.0</x:v>
      </x:c>
      <x:c r="N156" s="1">
        <x:v>-10.0</x:v>
      </x:c>
      <x:c r="O156" s="1">
        <x:v>-1.0</x:v>
      </x:c>
      <x:c r="P156" s="1" t="s">
        <x:v>26</x:v>
      </x:c>
      <x:c r="Q156" s="1" t="s">
        <x:v>187</x:v>
      </x:c>
      <x:c r="R156" s="1" t="s">
        <x:v>70</x:v>
      </x:c>
    </x:row>
    <x:row r="157" ht="15.75" customHeight="1">
      <x:c r="A157" s="10" t="s">
        <x:v>477</x:v>
      </x:c>
      <x:c r="B157" s="10" t="s">
        <x:v>478</x:v>
      </x:c>
      <x:c r="C157" s="1" t="s">
        <x:v>18</x:v>
      </x:c>
      <x:c r="D157" s="1" t="s">
        <x:v>19</x:v>
      </x:c>
      <x:c r="E157" s="1" t="s">
        <x:v>446</x:v>
      </x:c>
      <x:c r="F157" s="1" t="s">
        <x:v>354</x:v>
      </x:c>
      <x:c r="G157" s="1" t="s">
        <x:v>479</x:v>
      </x:c>
      <x:c r="H157" s="1" t="s">
        <x:v>356</x:v>
      </x:c>
      <x:c r="I157" s="1">
        <x:v>10.0</x:v>
      </x:c>
      <x:c r="J157" s="1">
        <x:v>1.83</x:v>
      </x:c>
      <x:c r="K157" s="1" t="s">
        <x:v>24</x:v>
      </x:c>
      <x:c r="L157" s="10" t="s">
        <x:v>128</x:v>
      </x:c>
      <x:c r="M157" s="1">
        <x:v>18.3</x:v>
      </x:c>
      <x:c r="N157" s="1">
        <x:v>8.3</x:v>
      </x:c>
      <x:c r="O157" s="1">
        <x:v>0.83</x:v>
      </x:c>
      <x:c r="P157" s="1" t="s">
        <x:v>26</x:v>
      </x:c>
      <x:c r="Q157" s="1" t="s">
        <x:v>187</x:v>
      </x:c>
      <x:c r="R157" s="1" t="s">
        <x:v>70</x:v>
      </x:c>
    </x:row>
    <x:row r="158" ht="15.75" customHeight="1">
      <x:c r="A158" s="10" t="s">
        <x:v>480</x:v>
      </x:c>
      <x:c r="B158" s="10" t="s">
        <x:v>481</x:v>
      </x:c>
      <x:c r="C158" s="1" t="s">
        <x:v>18</x:v>
      </x:c>
      <x:c r="D158" s="1" t="s">
        <x:v>19</x:v>
      </x:c>
      <x:c r="E158" s="1" t="s">
        <x:v>482</x:v>
      </x:c>
      <x:c r="F158" s="1" t="s">
        <x:v>78</x:v>
      </x:c>
      <x:c r="G158" s="1" t="s">
        <x:v>79</x:v>
      </x:c>
      <x:c r="H158" s="1" t="s">
        <x:v>80</x:v>
      </x:c>
      <x:c r="I158" s="1">
        <x:v>10.0</x:v>
      </x:c>
      <x:c r="J158" s="1">
        <x:v>1.13</x:v>
      </x:c>
      <x:c r="K158" s="1" t="s">
        <x:v>24</x:v>
      </x:c>
      <x:c r="L158" s="1" t="s">
        <x:v>25</x:v>
      </x:c>
      <x:c r="M158" s="1">
        <x:v>11.3</x:v>
      </x:c>
      <x:c r="N158" s="1">
        <x:v>1.3</x:v>
      </x:c>
      <x:c r="O158" s="1">
        <x:v>0.13</x:v>
      </x:c>
      <x:c r="P158" s="1" t="s">
        <x:v>26</x:v>
      </x:c>
      <x:c r="Q158" s="1" t="s">
        <x:v>187</x:v>
      </x:c>
      <x:c r="R158" s="1" t="s">
        <x:v>100</x:v>
      </x:c>
    </x:row>
    <x:row r="159" ht="15.75" customHeight="1">
      <x:c r="A159" s="10" t="s">
        <x:v>483</x:v>
      </x:c>
      <x:c r="B159" s="10" t="s">
        <x:v>484</x:v>
      </x:c>
      <x:c r="C159" s="1" t="s">
        <x:v>18</x:v>
      </x:c>
      <x:c r="D159" s="1" t="s">
        <x:v>19</x:v>
      </x:c>
      <x:c r="E159" s="1" t="s">
        <x:v>485</x:v>
      </x:c>
      <x:c r="F159" s="1" t="s">
        <x:v>234</x:v>
      </x:c>
      <x:c r="G159" s="1" t="s">
        <x:v>61</x:v>
      </x:c>
      <x:c r="H159" s="1" t="s">
        <x:v>350</x:v>
      </x:c>
      <x:c r="I159" s="1">
        <x:v>10.0</x:v>
      </x:c>
      <x:c r="J159" s="1">
        <x:v>1.67</x:v>
      </x:c>
      <x:c r="K159" s="1" t="s">
        <x:v>37</x:v>
      </x:c>
      <x:c r="L159" s="1" t="s">
        <x:v>262</x:v>
      </x:c>
      <x:c r="M159" s="1">
        <x:v>0.0</x:v>
      </x:c>
      <x:c r="N159" s="1">
        <x:v>-10.0</x:v>
      </x:c>
      <x:c r="O159" s="1">
        <x:v>-1.0</x:v>
      </x:c>
      <x:c r="P159" s="1" t="s">
        <x:v>26</x:v>
      </x:c>
      <x:c r="Q159" s="1" t="s">
        <x:v>187</x:v>
      </x:c>
      <x:c r="R159" s="1" t="s">
        <x:v>100</x:v>
      </x:c>
    </x:row>
    <x:row r="160" ht="15.75" customHeight="1">
      <x:c r="A160" s="10" t="s">
        <x:v>486</x:v>
      </x:c>
      <x:c r="B160" s="10" t="s">
        <x:v>487</x:v>
      </x:c>
      <x:c r="C160" s="1" t="s">
        <x:v>18</x:v>
      </x:c>
      <x:c r="D160" s="1" t="s">
        <x:v>19</x:v>
      </x:c>
      <x:c r="E160" s="1" t="s">
        <x:v>488</x:v>
      </x:c>
      <x:c r="F160" s="1" t="s">
        <x:v>354</x:v>
      </x:c>
      <x:c r="G160" s="1" t="s">
        <x:v>489</x:v>
      </x:c>
      <x:c r="H160" s="1" t="s">
        <x:v>490</x:v>
      </x:c>
      <x:c r="I160" s="1">
        <x:v>10.0</x:v>
      </x:c>
      <x:c r="J160" s="1">
        <x:v>1.42</x:v>
      </x:c>
      <x:c r="K160" s="1" t="s">
        <x:v>24</x:v>
      </x:c>
      <x:c r="L160" s="1" t="s">
        <x:v>35</x:v>
      </x:c>
      <x:c r="M160" s="1">
        <x:v>10.15</x:v>
      </x:c>
      <x:c r="N160" s="1">
        <x:v>0.15</x:v>
      </x:c>
      <x:c r="O160" s="1">
        <x:v>0.015</x:v>
      </x:c>
      <x:c r="P160" s="1" t="s">
        <x:v>26</x:v>
      </x:c>
      <x:c r="Q160" s="1" t="s">
        <x:v>459</x:v>
      </x:c>
      <x:c r="R160" s="1" t="s">
        <x:v>100</x:v>
      </x:c>
    </x:row>
    <x:row r="161" ht="15.75" customHeight="1">
      <x:c r="A161" s="10" t="s">
        <x:v>491</x:v>
      </x:c>
      <x:c r="B161" s="10" t="s">
        <x:v>487</x:v>
      </x:c>
      <x:c r="C161" s="1" t="s">
        <x:v>18</x:v>
      </x:c>
      <x:c r="D161" s="1" t="s">
        <x:v>19</x:v>
      </x:c>
      <x:c r="E161" s="1" t="s">
        <x:v>492</x:v>
      </x:c>
      <x:c r="F161" s="1" t="s">
        <x:v>78</x:v>
      </x:c>
      <x:c r="G161" s="1" t="s">
        <x:v>318</x:v>
      </x:c>
      <x:c r="H161" s="1" t="s">
        <x:v>104</x:v>
      </x:c>
      <x:c r="I161" s="1">
        <x:v>10.0</x:v>
      </x:c>
      <x:c r="J161" s="1">
        <x:v>1.29</x:v>
      </x:c>
      <x:c r="K161" s="1" t="s">
        <x:v>24</x:v>
      </x:c>
      <x:c r="L161" s="10" t="s">
        <x:v>38</x:v>
      </x:c>
      <x:c r="M161" s="1">
        <x:v>12.9</x:v>
      </x:c>
      <x:c r="N161" s="1">
        <x:v>2.9</x:v>
      </x:c>
      <x:c r="O161" s="1">
        <x:v>0.29</x:v>
      </x:c>
      <x:c r="P161" s="1" t="s">
        <x:v>26</x:v>
      </x:c>
      <x:c r="Q161" s="1" t="s">
        <x:v>187</x:v>
      </x:c>
      <x:c r="R161" s="1" t="s">
        <x:v>100</x:v>
      </x:c>
    </x:row>
    <x:row r="162" ht="15.75" customHeight="1">
      <x:c r="A162" s="10" t="s">
        <x:v>493</x:v>
      </x:c>
      <x:c r="B162" s="10" t="s">
        <x:v>494</x:v>
      </x:c>
      <x:c r="C162" s="1" t="s">
        <x:v>18</x:v>
      </x:c>
      <x:c r="D162" s="1" t="s">
        <x:v>19</x:v>
      </x:c>
      <x:c r="E162" s="1" t="s">
        <x:v>495</x:v>
      </x:c>
      <x:c r="F162" s="1" t="s">
        <x:v>78</x:v>
      </x:c>
      <x:c r="G162" s="1" t="s">
        <x:v>346</x:v>
      </x:c>
      <x:c r="H162" s="1" t="s">
        <x:v>104</x:v>
      </x:c>
      <x:c r="I162" s="1">
        <x:v>10.0</x:v>
      </x:c>
      <x:c r="J162" s="1">
        <x:v>1.26</x:v>
      </x:c>
      <x:c r="K162" s="1" t="s">
        <x:v>37</x:v>
      </x:c>
      <x:c r="L162" s="10" t="s">
        <x:v>38</x:v>
      </x:c>
      <x:c r="M162" s="1">
        <x:v>0.0</x:v>
      </x:c>
      <x:c r="N162" s="1">
        <x:v>-10.0</x:v>
      </x:c>
      <x:c r="O162" s="1">
        <x:v>-1.0</x:v>
      </x:c>
      <x:c r="P162" s="1" t="s">
        <x:v>26</x:v>
      </x:c>
      <x:c r="Q162" s="1" t="s">
        <x:v>187</x:v>
      </x:c>
      <x:c r="R162" s="1" t="s">
        <x:v>100</x:v>
      </x:c>
    </x:row>
    <x:row r="163" ht="15.75" customHeight="1">
      <x:c r="A163" s="10" t="s">
        <x:v>496</x:v>
      </x:c>
      <x:c r="B163" s="10" t="s">
        <x:v>497</x:v>
      </x:c>
      <x:c r="C163" s="1" t="s">
        <x:v>18</x:v>
      </x:c>
      <x:c r="D163" s="1" t="s">
        <x:v>19</x:v>
      </x:c>
      <x:c r="E163" s="1" t="s">
        <x:v>498</x:v>
      </x:c>
      <x:c r="F163" s="1" t="s">
        <x:v>186</x:v>
      </x:c>
      <x:c r="G163" s="1" t="s">
        <x:v>499</x:v>
      </x:c>
      <x:c r="H163" s="1" t="s">
        <x:v>23</x:v>
      </x:c>
      <x:c r="I163" s="1">
        <x:v>10.0</x:v>
      </x:c>
      <x:c r="J163" s="1">
        <x:v>1.55</x:v>
      </x:c>
      <x:c r="K163" s="1" t="s">
        <x:v>24</x:v>
      </x:c>
      <x:c r="L163" s="1" t="s">
        <x:v>25</x:v>
      </x:c>
      <x:c r="M163" s="1">
        <x:v>15.5</x:v>
      </x:c>
      <x:c r="N163" s="1">
        <x:v>5.5</x:v>
      </x:c>
      <x:c r="O163" s="1" t="n">
        <x:f t="shared" ref="O163:O179" si="1">IFERROR(N163/I163,0)</x:f>
        <x:v>0.55</x:v>
      </x:c>
      <x:c r="P163" s="1" t="s">
        <x:v>61</x:v>
      </x:c>
      <x:c r="Q163" s="1" t="s">
        <x:v>187</x:v>
      </x:c>
      <x:c r="R163" s="1" t="s">
        <x:v>70</x:v>
      </x:c>
    </x:row>
    <x:row r="164" ht="15.75" customHeight="1">
      <x:c r="A164" s="10" t="s">
        <x:v>500</x:v>
      </x:c>
      <x:c r="B164" s="10" t="s">
        <x:v>501</x:v>
      </x:c>
      <x:c r="C164" s="1" t="s">
        <x:v>18</x:v>
      </x:c>
      <x:c r="D164" s="1" t="s">
        <x:v>19</x:v>
      </x:c>
      <x:c r="E164" s="1" t="s">
        <x:v>502</x:v>
      </x:c>
      <x:c r="F164" s="1" t="s">
        <x:v>186</x:v>
      </x:c>
      <x:c r="G164" s="1" t="s">
        <x:v>503</x:v>
      </x:c>
      <x:c r="H164" s="1" t="s">
        <x:v>23</x:v>
      </x:c>
      <x:c r="I164" s="1">
        <x:v>20.0</x:v>
      </x:c>
      <x:c r="J164" s="1">
        <x:v>1.8</x:v>
      </x:c>
      <x:c r="K164" s="1" t="s">
        <x:v>37</x:v>
      </x:c>
      <x:c r="L164" s="10" t="s">
        <x:v>44</x:v>
      </x:c>
      <x:c r="M164" s="1">
        <x:v>0.0</x:v>
      </x:c>
      <x:c r="N164" s="1">
        <x:v>-20.0</x:v>
      </x:c>
      <x:c r="O164" s="1">
        <x:f t="shared" si="1"/>
        <x:v>-1</x:v>
      </x:c>
      <x:c r="P164" s="1" t="s">
        <x:v>61</x:v>
      </x:c>
      <x:c r="Q164" s="1" t="s">
        <x:v>187</x:v>
      </x:c>
      <x:c r="R164" s="1" t="s">
        <x:v>70</x:v>
      </x:c>
    </x:row>
    <x:row r="165" ht="15.75" customHeight="1">
      <x:c r="A165" s="10" t="s">
        <x:v>504</x:v>
      </x:c>
      <x:c r="B165" s="10" t="s">
        <x:v>505</x:v>
      </x:c>
      <x:c r="C165" s="1" t="s">
        <x:v>18</x:v>
      </x:c>
      <x:c r="D165" s="1" t="s">
        <x:v>19</x:v>
      </x:c>
      <x:c r="E165" s="1" t="s">
        <x:v>506</x:v>
      </x:c>
      <x:c r="F165" s="1" t="s">
        <x:v>354</x:v>
      </x:c>
      <x:c r="G165" s="1" t="s">
        <x:v>507</x:v>
      </x:c>
      <x:c r="H165" s="1" t="s">
        <x:v>508</x:v>
      </x:c>
      <x:c r="I165" s="1">
        <x:v>10.0</x:v>
      </x:c>
      <x:c r="J165" s="1">
        <x:v>1.75</x:v>
      </x:c>
      <x:c r="K165" s="1" t="s">
        <x:v>24</x:v>
      </x:c>
      <x:c r="L165" s="1" t="s">
        <x:v>29</x:v>
      </x:c>
      <x:c r="M165" s="1">
        <x:v>17.5</x:v>
      </x:c>
      <x:c r="N165" s="1">
        <x:v>7.5</x:v>
      </x:c>
      <x:c r="O165" s="1">
        <x:f t="shared" si="1"/>
        <x:v>0.75</x:v>
      </x:c>
      <x:c r="P165" s="1" t="s">
        <x:v>26</x:v>
      </x:c>
      <x:c r="Q165" s="1" t="s">
        <x:v>187</x:v>
      </x:c>
      <x:c r="R165" s="1" t="s">
        <x:v>70</x:v>
      </x:c>
    </x:row>
    <x:row r="166" ht="15.75" customHeight="1">
      <x:c r="A166" s="10" t="s">
        <x:v>509</x:v>
      </x:c>
      <x:c r="B166" s="10" t="s">
        <x:v>505</x:v>
      </x:c>
      <x:c r="C166" s="1" t="s">
        <x:v>18</x:v>
      </x:c>
      <x:c r="D166" s="1" t="s">
        <x:v>19</x:v>
      </x:c>
      <x:c r="E166" s="1" t="s">
        <x:v>510</x:v>
      </x:c>
      <x:c r="F166" s="1" t="s">
        <x:v>354</x:v>
      </x:c>
      <x:c r="G166" s="1" t="s">
        <x:v>507</x:v>
      </x:c>
      <x:c r="H166" s="1" t="s">
        <x:v>508</x:v>
      </x:c>
      <x:c r="I166" s="1">
        <x:v>10.0</x:v>
      </x:c>
      <x:c r="J166" s="1">
        <x:v>1.72</x:v>
      </x:c>
      <x:c r="K166" s="1" t="s">
        <x:v>24</x:v>
      </x:c>
      <x:c r="L166" s="1" t="s">
        <x:v>35</x:v>
      </x:c>
      <x:c r="M166" s="1">
        <x:v>17.2</x:v>
      </x:c>
      <x:c r="N166" s="1">
        <x:v>7.2</x:v>
      </x:c>
      <x:c r="O166" s="1">
        <x:f t="shared" si="1"/>
        <x:v>0.72</x:v>
      </x:c>
      <x:c r="P166" s="1" t="s">
        <x:v>26</x:v>
      </x:c>
      <x:c r="Q166" s="1" t="s">
        <x:v>187</x:v>
      </x:c>
      <x:c r="R166" s="1" t="s">
        <x:v>70</x:v>
      </x:c>
    </x:row>
    <x:row r="167" ht="15.75" customHeight="1">
      <x:c r="A167" s="10" t="s">
        <x:v>511</x:v>
      </x:c>
      <x:c r="B167" s="10" t="s">
        <x:v>512</x:v>
      </x:c>
      <x:c r="C167" s="1" t="s">
        <x:v>18</x:v>
      </x:c>
      <x:c r="D167" s="1" t="s">
        <x:v>19</x:v>
      </x:c>
      <x:c r="E167" s="1" t="s">
        <x:v>502</x:v>
      </x:c>
      <x:c r="F167" s="1" t="s">
        <x:v>354</x:v>
      </x:c>
      <x:c r="G167" s="1" t="s">
        <x:v>513</x:v>
      </x:c>
      <x:c r="H167" s="1" t="s">
        <x:v>508</x:v>
      </x:c>
      <x:c r="I167" s="1">
        <x:v>10.0</x:v>
      </x:c>
      <x:c r="J167" s="1">
        <x:v>1.8</x:v>
      </x:c>
      <x:c r="K167" s="1" t="s">
        <x:v>37</x:v>
      </x:c>
      <x:c r="L167" s="10" t="s">
        <x:v>44</x:v>
      </x:c>
      <x:c r="M167" s="1">
        <x:v>0.0</x:v>
      </x:c>
      <x:c r="N167" s="1">
        <x:v>-10.0</x:v>
      </x:c>
      <x:c r="O167" s="1">
        <x:f t="shared" si="1"/>
        <x:v>-1</x:v>
      </x:c>
      <x:c r="P167" s="1" t="s">
        <x:v>26</x:v>
      </x:c>
      <x:c r="Q167" s="1" t="s">
        <x:v>187</x:v>
      </x:c>
      <x:c r="R167" s="1" t="s">
        <x:v>70</x:v>
      </x:c>
    </x:row>
    <x:row r="168" ht="15.75" customHeight="1">
      <x:c r="A168" s="10" t="s">
        <x:v>514</x:v>
      </x:c>
      <x:c r="B168" s="10" t="s">
        <x:v>515</x:v>
      </x:c>
      <x:c r="C168" s="1" t="s">
        <x:v>18</x:v>
      </x:c>
      <x:c r="D168" s="1" t="s">
        <x:v>19</x:v>
      </x:c>
      <x:c r="E168" s="1" t="s">
        <x:v>516</x:v>
      </x:c>
      <x:c r="F168" s="1" t="s">
        <x:v>234</x:v>
      </x:c>
      <x:c r="G168" s="1" t="s">
        <x:v>26</x:v>
      </x:c>
      <x:c r="H168" s="1" t="s">
        <x:v>235</x:v>
      </x:c>
      <x:c r="I168" s="1">
        <x:v>10.0</x:v>
      </x:c>
      <x:c r="J168" s="1">
        <x:v>1.67</x:v>
      </x:c>
      <x:c r="K168" s="1" t="s">
        <x:v>37</x:v>
      </x:c>
      <x:c r="L168" s="10" t="s">
        <x:v>58</x:v>
      </x:c>
      <x:c r="M168" s="1">
        <x:v>0.0</x:v>
      </x:c>
      <x:c r="N168" s="1">
        <x:v>-10.0</x:v>
      </x:c>
      <x:c r="O168" s="1">
        <x:f t="shared" si="1"/>
        <x:v>-1</x:v>
      </x:c>
      <x:c r="P168" s="1" t="s">
        <x:v>26</x:v>
      </x:c>
      <x:c r="Q168" s="1" t="s">
        <x:v>187</x:v>
      </x:c>
      <x:c r="R168" s="1" t="s">
        <x:v>70</x:v>
      </x:c>
    </x:row>
    <x:row r="169" ht="15.75" customHeight="1">
      <x:c r="A169" s="10" t="s">
        <x:v>517</x:v>
      </x:c>
      <x:c r="B169" s="10" t="s">
        <x:v>515</x:v>
      </x:c>
      <x:c r="C169" s="1" t="s">
        <x:v>18</x:v>
      </x:c>
      <x:c r="D169" s="1" t="s">
        <x:v>19</x:v>
      </x:c>
      <x:c r="E169" s="1" t="s">
        <x:v>518</x:v>
      </x:c>
      <x:c r="F169" s="1" t="s">
        <x:v>354</x:v>
      </x:c>
      <x:c r="G169" s="1" t="s">
        <x:v>519</x:v>
      </x:c>
      <x:c r="H169" s="1" t="s">
        <x:v>520</x:v>
      </x:c>
      <x:c r="I169" s="1">
        <x:v>20.0</x:v>
      </x:c>
      <x:c r="J169" s="1">
        <x:v>2.18</x:v>
      </x:c>
      <x:c r="K169" s="1" t="s">
        <x:v>24</x:v>
      </x:c>
      <x:c r="L169" s="10" t="s">
        <x:v>38</x:v>
      </x:c>
      <x:c r="M169" s="1">
        <x:v>43.6</x:v>
      </x:c>
      <x:c r="N169" s="1">
        <x:v>23.6</x:v>
      </x:c>
      <x:c r="O169" s="1">
        <x:f t="shared" si="1"/>
        <x:v>1.18</x:v>
      </x:c>
      <x:c r="P169" s="1" t="s">
        <x:v>26</x:v>
      </x:c>
      <x:c r="Q169" s="1" t="s">
        <x:v>187</x:v>
      </x:c>
      <x:c r="R169" s="1" t="s">
        <x:v>70</x:v>
      </x:c>
    </x:row>
    <x:row r="170" ht="15.75" customHeight="1">
      <x:c r="A170" s="10" t="s">
        <x:v>521</x:v>
      </x:c>
      <x:c r="B170" s="10" t="s">
        <x:v>522</x:v>
      </x:c>
      <x:c r="C170" s="1" t="s">
        <x:v>18</x:v>
      </x:c>
      <x:c r="D170" s="1" t="s">
        <x:v>19</x:v>
      </x:c>
      <x:c r="E170" s="1" t="s">
        <x:v>523</x:v>
      </x:c>
      <x:c r="F170" s="1" t="s">
        <x:v>354</x:v>
      </x:c>
      <x:c r="G170" s="1" t="s">
        <x:v>519</x:v>
      </x:c>
      <x:c r="H170" s="1" t="s">
        <x:v>520</x:v>
      </x:c>
      <x:c r="I170" s="1">
        <x:v>10.0</x:v>
      </x:c>
      <x:c r="J170" s="1">
        <x:v>2.22</x:v>
      </x:c>
      <x:c r="K170" s="1" t="s">
        <x:v>37</x:v>
      </x:c>
      <x:c r="L170" s="1" t="s">
        <x:v>29</x:v>
      </x:c>
      <x:c r="M170" s="1">
        <x:v>0.0</x:v>
      </x:c>
      <x:c r="N170" s="1">
        <x:v>-10.0</x:v>
      </x:c>
      <x:c r="O170" s="1">
        <x:f t="shared" si="1"/>
        <x:v>-1</x:v>
      </x:c>
      <x:c r="P170" s="1" t="s">
        <x:v>26</x:v>
      </x:c>
      <x:c r="Q170" s="1" t="s">
        <x:v>187</x:v>
      </x:c>
      <x:c r="R170" s="1" t="s">
        <x:v>70</x:v>
      </x:c>
    </x:row>
    <x:row r="171" ht="15.75" customHeight="1">
      <x:c r="A171" s="10" t="s">
        <x:v>524</x:v>
      </x:c>
      <x:c r="B171" s="10" t="s">
        <x:v>522</x:v>
      </x:c>
      <x:c r="C171" s="1" t="s">
        <x:v>18</x:v>
      </x:c>
      <x:c r="D171" s="1" t="s">
        <x:v>19</x:v>
      </x:c>
      <x:c r="E171" s="1" t="s">
        <x:v>525</x:v>
      </x:c>
      <x:c r="F171" s="1" t="s">
        <x:v>354</x:v>
      </x:c>
      <x:c r="G171" s="1" t="s">
        <x:v>526</x:v>
      </x:c>
      <x:c r="H171" s="1" t="s">
        <x:v>520</x:v>
      </x:c>
      <x:c r="I171" s="1">
        <x:v>10.0</x:v>
      </x:c>
      <x:c r="J171" s="1">
        <x:v>1.88</x:v>
      </x:c>
      <x:c r="K171" s="1" t="s">
        <x:v>24</x:v>
      </x:c>
      <x:c r="L171" s="10" t="s">
        <x:v>146</x:v>
      </x:c>
      <x:c r="M171" s="1">
        <x:v>18.8</x:v>
      </x:c>
      <x:c r="N171" s="1">
        <x:v>8.8</x:v>
      </x:c>
      <x:c r="O171" s="1">
        <x:f t="shared" si="1"/>
        <x:v>0.88</x:v>
      </x:c>
      <x:c r="P171" s="1" t="s">
        <x:v>26</x:v>
      </x:c>
      <x:c r="Q171" s="1" t="s">
        <x:v>187</x:v>
      </x:c>
      <x:c r="R171" s="1" t="s">
        <x:v>70</x:v>
      </x:c>
    </x:row>
    <x:row r="172" ht="15.75" customHeight="1">
      <x:c r="A172" s="10" t="s">
        <x:v>527</x:v>
      </x:c>
      <x:c r="B172" s="10" t="s">
        <x:v>528</x:v>
      </x:c>
      <x:c r="C172" s="1" t="s">
        <x:v>18</x:v>
      </x:c>
      <x:c r="D172" s="1" t="s">
        <x:v>19</x:v>
      </x:c>
      <x:c r="E172" s="1" t="s">
        <x:v>529</x:v>
      </x:c>
      <x:c r="F172" s="1" t="s">
        <x:v>354</x:v>
      </x:c>
      <x:c r="G172" s="1" t="s">
        <x:v>409</x:v>
      </x:c>
      <x:c r="H172" s="1" t="s">
        <x:v>393</x:v>
      </x:c>
      <x:c r="I172" s="1">
        <x:v>10.0</x:v>
      </x:c>
      <x:c r="J172" s="1">
        <x:v>1.62</x:v>
      </x:c>
      <x:c r="K172" s="1" t="s">
        <x:v>37</x:v>
      </x:c>
      <x:c r="L172" s="10" t="s">
        <x:v>146</x:v>
      </x:c>
      <x:c r="M172" s="1">
        <x:v>0.0</x:v>
      </x:c>
      <x:c r="N172" s="1">
        <x:v>-10.0</x:v>
      </x:c>
      <x:c r="O172" s="1">
        <x:f t="shared" si="1"/>
        <x:v>-1</x:v>
      </x:c>
      <x:c r="P172" s="1" t="s">
        <x:v>26</x:v>
      </x:c>
      <x:c r="Q172" s="1" t="s">
        <x:v>187</x:v>
      </x:c>
      <x:c r="R172" s="1" t="s">
        <x:v>70</x:v>
      </x:c>
    </x:row>
    <x:row r="173" ht="15.75" customHeight="1">
      <x:c r="A173" s="10" t="s">
        <x:v>530</x:v>
      </x:c>
      <x:c r="B173" s="10" t="s">
        <x:v>528</x:v>
      </x:c>
      <x:c r="C173" s="1" t="s">
        <x:v>18</x:v>
      </x:c>
      <x:c r="D173" s="1" t="s">
        <x:v>19</x:v>
      </x:c>
      <x:c r="E173" s="1" t="s">
        <x:v>529</x:v>
      </x:c>
      <x:c r="F173" s="1" t="s">
        <x:v>234</x:v>
      </x:c>
      <x:c r="G173" s="1" t="s">
        <x:v>61</x:v>
      </x:c>
      <x:c r="H173" s="1" t="s">
        <x:v>350</x:v>
      </x:c>
      <x:c r="I173" s="1">
        <x:v>10.0</x:v>
      </x:c>
      <x:c r="J173" s="1">
        <x:v>1.95</x:v>
      </x:c>
      <x:c r="K173" s="1" t="s">
        <x:v>24</x:v>
      </x:c>
      <x:c r="L173" s="10" t="s">
        <x:v>146</x:v>
      </x:c>
      <x:c r="M173" s="1">
        <x:v>19.5</x:v>
      </x:c>
      <x:c r="N173" s="1">
        <x:v>9.5</x:v>
      </x:c>
      <x:c r="O173" s="1">
        <x:f t="shared" si="1"/>
        <x:v>0.95</x:v>
      </x:c>
      <x:c r="P173" s="1" t="s">
        <x:v>26</x:v>
      </x:c>
      <x:c r="Q173" s="1" t="s">
        <x:v>187</x:v>
      </x:c>
      <x:c r="R173" s="1" t="s">
        <x:v>70</x:v>
      </x:c>
    </x:row>
    <x:row r="174" ht="15.75" customHeight="1">
      <x:c r="A174" s="10" t="s">
        <x:v>531</x:v>
      </x:c>
      <x:c r="B174" s="10" t="s">
        <x:v>532</x:v>
      </x:c>
      <x:c r="C174" s="1" t="s">
        <x:v>18</x:v>
      </x:c>
      <x:c r="D174" s="1" t="s">
        <x:v>19</x:v>
      </x:c>
      <x:c r="E174" s="1" t="s">
        <x:v>533</x:v>
      </x:c>
      <x:c r="F174" s="1" t="s">
        <x:v>78</x:v>
      </x:c>
      <x:c r="G174" s="1" t="s">
        <x:v>381</x:v>
      </x:c>
      <x:c r="H174" s="1" t="s">
        <x:v>104</x:v>
      </x:c>
      <x:c r="I174" s="1">
        <x:v>10.0</x:v>
      </x:c>
      <x:c r="J174" s="1">
        <x:v>1.31</x:v>
      </x:c>
      <x:c r="K174" s="1" t="s">
        <x:v>37</x:v>
      </x:c>
      <x:c r="L174" s="1" t="s">
        <x:v>35</x:v>
      </x:c>
      <x:c r="M174" s="1">
        <x:v>0.0</x:v>
      </x:c>
      <x:c r="N174" s="1">
        <x:v>-10.0</x:v>
      </x:c>
      <x:c r="O174" s="1">
        <x:f t="shared" si="1"/>
        <x:v>-1</x:v>
      </x:c>
      <x:c r="P174" s="1" t="s">
        <x:v>26</x:v>
      </x:c>
      <x:c r="Q174" s="1" t="s">
        <x:v>534</x:v>
      </x:c>
      <x:c r="R174" s="1" t="s">
        <x:v>100</x:v>
      </x:c>
    </x:row>
    <x:row r="175" ht="15.75" customHeight="1">
      <x:c r="A175" s="10" t="s">
        <x:v>535</x:v>
      </x:c>
      <x:c r="B175" s="10" t="s">
        <x:v>536</x:v>
      </x:c>
      <x:c r="C175" s="1" t="s">
        <x:v>18</x:v>
      </x:c>
      <x:c r="D175" s="1" t="s">
        <x:v>19</x:v>
      </x:c>
      <x:c r="E175" s="1" t="s">
        <x:v>533</x:v>
      </x:c>
      <x:c r="F175" s="1" t="s">
        <x:v>21</x:v>
      </x:c>
      <x:c r="G175" s="1" t="s">
        <x:v>241</x:v>
      </x:c>
      <x:c r="H175" s="1" t="s">
        <x:v>23</x:v>
      </x:c>
      <x:c r="I175" s="1">
        <x:v>10.0</x:v>
      </x:c>
      <x:c r="J175" s="1">
        <x:v>1.91</x:v>
      </x:c>
      <x:c r="K175" s="1" t="s">
        <x:v>37</x:v>
      </x:c>
      <x:c r="L175" s="1" t="s">
        <x:v>35</x:v>
      </x:c>
      <x:c r="M175" s="1">
        <x:v>0.0</x:v>
      </x:c>
      <x:c r="N175" s="1">
        <x:v>-10.0</x:v>
      </x:c>
      <x:c r="O175" s="1">
        <x:f t="shared" si="1"/>
        <x:v>-1</x:v>
      </x:c>
      <x:c r="P175" s="1" t="s">
        <x:v>26</x:v>
      </x:c>
      <x:c r="Q175" s="1" t="s">
        <x:v>534</x:v>
      </x:c>
      <x:c r="R175" s="1" t="s">
        <x:v>100</x:v>
      </x:c>
    </x:row>
    <x:row r="176" ht="15.75" customHeight="1">
      <x:c r="A176" s="10" t="s">
        <x:v>537</x:v>
      </x:c>
      <x:c r="B176" s="10" t="s">
        <x:v>538</x:v>
      </x:c>
      <x:c r="C176" s="1" t="s">
        <x:v>18</x:v>
      </x:c>
      <x:c r="D176" s="1" t="s">
        <x:v>19</x:v>
      </x:c>
      <x:c r="E176" s="1" t="s">
        <x:v>506</x:v>
      </x:c>
      <x:c r="F176" s="1" t="s">
        <x:v>354</x:v>
      </x:c>
      <x:c r="G176" s="1" t="s">
        <x:v>507</x:v>
      </x:c>
      <x:c r="H176" s="1" t="s">
        <x:v>508</x:v>
      </x:c>
      <x:c r="I176" s="1">
        <x:v>10.0</x:v>
      </x:c>
      <x:c r="J176" s="1">
        <x:v>1.31</x:v>
      </x:c>
      <x:c r="K176" s="1" t="s">
        <x:v>24</x:v>
      </x:c>
      <x:c r="L176" s="1" t="s">
        <x:v>29</x:v>
      </x:c>
      <x:c r="M176" s="1">
        <x:v>13.1</x:v>
      </x:c>
      <x:c r="N176" s="1">
        <x:v>3.1</x:v>
      </x:c>
      <x:c r="O176" s="1">
        <x:f t="shared" si="1"/>
        <x:v>0.31</x:v>
      </x:c>
      <x:c r="P176" s="1" t="s">
        <x:v>26</x:v>
      </x:c>
      <x:c r="Q176" s="1" t="s">
        <x:v>187</x:v>
      </x:c>
      <x:c r="R176" s="1" t="s">
        <x:v>100</x:v>
      </x:c>
    </x:row>
    <x:row r="177" ht="15.75" customHeight="1">
      <x:c r="A177" s="10" t="s">
        <x:v>539</x:v>
      </x:c>
      <x:c r="B177" s="10" t="s">
        <x:v>540</x:v>
      </x:c>
      <x:c r="C177" s="1" t="s">
        <x:v>18</x:v>
      </x:c>
      <x:c r="D177" s="1" t="s">
        <x:v>19</x:v>
      </x:c>
      <x:c r="E177" s="1" t="s">
        <x:v>541</x:v>
      </x:c>
      <x:c r="F177" s="1" t="s">
        <x:v>354</x:v>
      </x:c>
      <x:c r="G177" s="1" t="s">
        <x:v>542</x:v>
      </x:c>
      <x:c r="H177" s="1" t="s">
        <x:v>543</x:v>
      </x:c>
      <x:c r="I177" s="1">
        <x:v>10.0</x:v>
      </x:c>
      <x:c r="J177" s="1">
        <x:v>1.23</x:v>
      </x:c>
      <x:c r="K177" s="1" t="s">
        <x:v>37</x:v>
      </x:c>
      <x:c r="L177" s="10" t="s">
        <x:v>44</x:v>
      </x:c>
      <x:c r="M177" s="1">
        <x:v>0.0</x:v>
      </x:c>
      <x:c r="N177" s="1">
        <x:v>-10.0</x:v>
      </x:c>
      <x:c r="O177" s="1">
        <x:f t="shared" si="1"/>
        <x:v>-1</x:v>
      </x:c>
      <x:c r="P177" s="1" t="s">
        <x:v>26</x:v>
      </x:c>
      <x:c r="Q177" s="1" t="s">
        <x:v>187</x:v>
      </x:c>
      <x:c r="R177" s="1" t="s">
        <x:v>100</x:v>
      </x:c>
    </x:row>
    <x:row r="178" ht="15.75" customHeight="1">
      <x:c r="A178" s="10" t="s">
        <x:v>544</x:v>
      </x:c>
      <x:c r="B178" s="10" t="s">
        <x:v>545</x:v>
      </x:c>
      <x:c r="C178" s="1" t="s">
        <x:v>18</x:v>
      </x:c>
      <x:c r="D178" s="1" t="s">
        <x:v>19</x:v>
      </x:c>
      <x:c r="E178" s="1" t="s">
        <x:v>546</x:v>
      </x:c>
      <x:c r="F178" s="1" t="s">
        <x:v>21</x:v>
      </x:c>
      <x:c r="G178" s="1" t="s">
        <x:v>547</x:v>
      </x:c>
      <x:c r="H178" s="1" t="s">
        <x:v>23</x:v>
      </x:c>
      <x:c r="I178" s="1">
        <x:v>10.0</x:v>
      </x:c>
      <x:c r="J178" s="1">
        <x:v>1.31</x:v>
      </x:c>
      <x:c r="K178" s="1" t="s">
        <x:v>24</x:v>
      </x:c>
      <x:c r="L178" s="10" t="s">
        <x:v>46</x:v>
      </x:c>
      <x:c r="M178" s="1">
        <x:v>13.1</x:v>
      </x:c>
      <x:c r="N178" s="1">
        <x:v>3.1</x:v>
      </x:c>
      <x:c r="O178" s="1">
        <x:f t="shared" si="1"/>
        <x:v>0.31</x:v>
      </x:c>
      <x:c r="P178" s="1" t="s">
        <x:v>26</x:v>
      </x:c>
      <x:c r="Q178" s="1" t="s">
        <x:v>187</x:v>
      </x:c>
      <x:c r="R178" s="1" t="s">
        <x:v>100</x:v>
      </x:c>
    </x:row>
    <x:row r="179" ht="15.75" customHeight="1">
      <x:c r="A179" s="10" t="s">
        <x:v>548</x:v>
      </x:c>
      <x:c r="B179" s="10" t="s">
        <x:v>549</x:v>
      </x:c>
      <x:c r="C179" s="1" t="s">
        <x:v>18</x:v>
      </x:c>
      <x:c r="D179" s="1" t="s">
        <x:v>19</x:v>
      </x:c>
      <x:c r="E179" s="1" t="s">
        <x:v>550</x:v>
      </x:c>
      <x:c r="F179" s="1" t="s">
        <x:v>21</x:v>
      </x:c>
      <x:c r="G179" s="1" t="s">
        <x:v>551</x:v>
      </x:c>
      <x:c r="H179" s="1" t="s">
        <x:v>23</x:v>
      </x:c>
      <x:c r="I179" s="1">
        <x:v>10.0</x:v>
      </x:c>
      <x:c r="J179" s="1">
        <x:v>1.7</x:v>
      </x:c>
      <x:c r="K179" s="1" t="s">
        <x:v>24</x:v>
      </x:c>
      <x:c r="L179" s="10" t="s">
        <x:v>38</x:v>
      </x:c>
      <x:c r="M179" s="1">
        <x:v>17.0</x:v>
      </x:c>
      <x:c r="N179" s="1">
        <x:v>7.0</x:v>
      </x:c>
      <x:c r="O179" s="1">
        <x:f t="shared" si="1"/>
        <x:v>0.7</x:v>
      </x:c>
      <x:c r="P179" s="1" t="s">
        <x:v>26</x:v>
      </x:c>
      <x:c r="Q179" s="1" t="s">
        <x:v>187</x:v>
      </x:c>
      <x:c r="R179" s="1" t="s">
        <x:v>100</x:v>
      </x:c>
    </x:row>
    <x:row r="180" ht="15.75" customHeight="1">
      <x:c r="A180" s="31">
        <x:v>2.0973333422E10</x:v>
      </x:c>
      <x:c r="B180" s="32">
        <x:v>46266.8625</x:v>
      </x:c>
      <x:c r="C180" s="31" t="s">
        <x:v>18</x:v>
      </x:c>
      <x:c r="D180" s="31" t="s">
        <x:v>19</x:v>
      </x:c>
      <x:c r="E180" s="31" t="s">
        <x:v>552</x:v>
      </x:c>
      <x:c r="F180" s="31" t="s">
        <x:v>78</x:v>
      </x:c>
      <x:c r="G180" s="31" t="s">
        <x:v>318</x:v>
      </x:c>
      <x:c r="H180" s="31" t="s">
        <x:v>104</x:v>
      </x:c>
      <x:c r="I180" s="31">
        <x:v>10.0</x:v>
      </x:c>
      <x:c r="J180" s="31">
        <x:v>1.33</x:v>
      </x:c>
      <x:c r="K180" s="31" t="s">
        <x:v>24</x:v>
      </x:c>
      <x:c r="L180" s="33">
        <x:v>46024.0</x:v>
      </x:c>
      <x:c r="M180" s="31">
        <x:v>13.3</x:v>
      </x:c>
      <x:c r="N180" s="31">
        <x:v>3.3</x:v>
      </x:c>
      <x:c r="O180" s="31">
        <x:v>0.33</x:v>
      </x:c>
      <x:c r="P180" s="31" t="s">
        <x:v>26</x:v>
      </x:c>
      <x:c r="Q180" s="1"/>
      <x:c r="R180" s="31" t="s">
        <x:v>100</x:v>
      </x:c>
    </x:row>
    <x:row r="181" ht="15.75" customHeight="1">
      <x:c r="A181" s="31">
        <x:v>2.0973321152E10</x:v>
      </x:c>
      <x:c r="B181" s="32">
        <x:v>46266.861805555556</x:v>
      </x:c>
      <x:c r="C181" s="31" t="s">
        <x:v>18</x:v>
      </x:c>
      <x:c r="D181" s="31" t="s">
        <x:v>19</x:v>
      </x:c>
      <x:c r="E181" s="31" t="s">
        <x:v>553</x:v>
      </x:c>
      <x:c r="F181" s="31" t="s">
        <x:v>21</x:v>
      </x:c>
      <x:c r="G181" s="31" t="s">
        <x:v>554</x:v>
      </x:c>
      <x:c r="H181" s="31" t="s">
        <x:v>23</x:v>
      </x:c>
      <x:c r="I181" s="31">
        <x:v>10.0</x:v>
      </x:c>
      <x:c r="J181" s="31">
        <x:v>1.39</x:v>
      </x:c>
      <x:c r="K181" s="31" t="s">
        <x:v>37</x:v>
      </x:c>
      <x:c r="L181" s="33">
        <x:v>46023.0</x:v>
      </x:c>
      <x:c r="M181" s="31">
        <x:v>0.0</x:v>
      </x:c>
      <x:c r="N181" s="31">
        <x:v>-10.0</x:v>
      </x:c>
      <x:c r="O181" s="31">
        <x:v>-1.0</x:v>
      </x:c>
      <x:c r="P181" s="31" t="s">
        <x:v>26</x:v>
      </x:c>
      <x:c r="Q181" s="1"/>
      <x:c r="R181" s="31" t="s">
        <x:v>100</x:v>
      </x:c>
    </x:row>
    <x:row r="182" ht="15.75" customHeight="1">
      <x:c r="A182" s="31">
        <x:v>2.0971974222E10</x:v>
      </x:c>
      <x:c r="B182" s="32">
        <x:v>46266.75277777778</x:v>
      </x:c>
      <x:c r="C182" s="31" t="s">
        <x:v>18</x:v>
      </x:c>
      <x:c r="D182" s="31" t="s">
        <x:v>19</x:v>
      </x:c>
      <x:c r="E182" s="31" t="s">
        <x:v>555</x:v>
      </x:c>
      <x:c r="F182" s="31" t="s">
        <x:v>354</x:v>
      </x:c>
      <x:c r="G182" s="31" t="s">
        <x:v>409</x:v>
      </x:c>
      <x:c r="H182" s="31" t="s">
        <x:v>393</x:v>
      </x:c>
      <x:c r="I182" s="31">
        <x:v>10.0</x:v>
      </x:c>
      <x:c r="J182" s="31">
        <x:v>1.62</x:v>
      </x:c>
      <x:c r="K182" s="31" t="s">
        <x:v>24</x:v>
      </x:c>
      <x:c r="L182" s="33">
        <x:v>46024.0</x:v>
      </x:c>
      <x:c r="M182" s="31">
        <x:v>16.2</x:v>
      </x:c>
      <x:c r="N182" s="31">
        <x:v>6.2</x:v>
      </x:c>
      <x:c r="O182" s="31">
        <x:v>0.62</x:v>
      </x:c>
      <x:c r="P182" s="31" t="s">
        <x:v>26</x:v>
      </x:c>
      <x:c r="Q182" s="1"/>
      <x:c r="R182" s="31" t="s">
        <x:v>70</x:v>
      </x:c>
    </x:row>
    <x:row r="183" ht="15.75" customHeight="1">
      <x:c r="A183" s="31">
        <x:v>2.0971960632E10</x:v>
      </x:c>
      <x:c r="B183" s="32">
        <x:v>46266.751388888886</x:v>
      </x:c>
      <x:c r="C183" s="31" t="s">
        <x:v>18</x:v>
      </x:c>
      <x:c r="D183" s="31" t="s">
        <x:v>19</x:v>
      </x:c>
      <x:c r="E183" s="31" t="s">
        <x:v>555</x:v>
      </x:c>
      <x:c r="F183" s="31" t="s">
        <x:v>354</x:v>
      </x:c>
      <x:c r="G183" s="31" t="s">
        <x:v>556</x:v>
      </x:c>
      <x:c r="H183" s="31" t="s">
        <x:v>465</x:v>
      </x:c>
      <x:c r="I183" s="31">
        <x:v>10.0</x:v>
      </x:c>
      <x:c r="J183" s="31">
        <x:v>2.05</x:v>
      </x:c>
      <x:c r="K183" s="31" t="s">
        <x:v>82</x:v>
      </x:c>
      <x:c r="L183" s="33">
        <x:v>46024.0</x:v>
      </x:c>
      <x:c r="M183" s="31">
        <x:v>10.0</x:v>
      </x:c>
      <x:c r="N183" s="31">
        <x:v>0.0</x:v>
      </x:c>
      <x:c r="O183" s="31">
        <x:v>0.0</x:v>
      </x:c>
      <x:c r="P183" s="31" t="s">
        <x:v>26</x:v>
      </x:c>
      <x:c r="Q183" s="31" t="s">
        <x:v>319</x:v>
      </x:c>
      <x:c r="R183" s="31" t="s">
        <x:v>70</x:v>
      </x:c>
    </x:row>
    <x:row r="184" ht="15.75" customHeight="1">
      <x:c r="A184" s="31">
        <x:v>2.0971953362E10</x:v>
      </x:c>
      <x:c r="B184" s="32">
        <x:v>46266.75069444445</x:v>
      </x:c>
      <x:c r="C184" s="31" t="s">
        <x:v>18</x:v>
      </x:c>
      <x:c r="D184" s="31" t="s">
        <x:v>19</x:v>
      </x:c>
      <x:c r="E184" s="31" t="s">
        <x:v>557</x:v>
      </x:c>
      <x:c r="F184" s="31" t="s">
        <x:v>21</x:v>
      </x:c>
      <x:c r="G184" s="31" t="s">
        <x:v>157</x:v>
      </x:c>
      <x:c r="H184" s="31" t="s">
        <x:v>23</x:v>
      </x:c>
      <x:c r="I184" s="31">
        <x:v>10.0</x:v>
      </x:c>
      <x:c r="J184" s="31">
        <x:v>1.98</x:v>
      </x:c>
      <x:c r="K184" s="31" t="s">
        <x:v>37</x:v>
      </x:c>
      <x:c r="L184" s="33">
        <x:v>46055.0</x:v>
      </x:c>
      <x:c r="M184" s="31">
        <x:v>0.0</x:v>
      </x:c>
      <x:c r="N184" s="31">
        <x:v>-10.0</x:v>
      </x:c>
      <x:c r="O184" s="31">
        <x:v>-1.0</x:v>
      </x:c>
      <x:c r="P184" s="31" t="s">
        <x:v>26</x:v>
      </x:c>
      <x:c r="Q184" s="1"/>
      <x:c r="R184" s="31" t="s">
        <x:v>70</x:v>
      </x:c>
    </x:row>
    <x:row r="185" ht="15.75" customHeight="1">
      <x:c r="A185" s="31">
        <x:v>2.0970985542E10</x:v>
      </x:c>
      <x:c r="B185" s="32">
        <x:v>46266.65555555555</x:v>
      </x:c>
      <x:c r="C185" s="31" t="s">
        <x:v>18</x:v>
      </x:c>
      <x:c r="D185" s="31" t="s">
        <x:v>19</x:v>
      </x:c>
      <x:c r="E185" s="31" t="s">
        <x:v>558</x:v>
      </x:c>
      <x:c r="F185" s="31" t="s">
        <x:v>139</x:v>
      </x:c>
      <x:c r="G185" s="31" t="s">
        <x:v>140</x:v>
      </x:c>
      <x:c r="H185" s="31" t="s">
        <x:v>141</x:v>
      </x:c>
      <x:c r="I185" s="31">
        <x:v>10.0</x:v>
      </x:c>
      <x:c r="J185" s="31">
        <x:v>2.22</x:v>
      </x:c>
      <x:c r="K185" s="31" t="s">
        <x:v>37</x:v>
      </x:c>
      <x:c r="L185" s="33">
        <x:v>46056.0</x:v>
      </x:c>
      <x:c r="M185" s="31">
        <x:v>0.0</x:v>
      </x:c>
      <x:c r="N185" s="31">
        <x:v>-10.0</x:v>
      </x:c>
      <x:c r="O185" s="31">
        <x:v>-1.0</x:v>
      </x:c>
      <x:c r="P185" s="31" t="s">
        <x:v>26</x:v>
      </x:c>
      <x:c r="Q185" s="1"/>
      <x:c r="R185" s="31" t="s">
        <x:v>70</x:v>
      </x:c>
    </x:row>
    <x:row r="186" ht="15.75" customHeight="1">
      <x:c r="A186" s="31">
        <x:v>2.0970971392E10</x:v>
      </x:c>
      <x:c r="B186" s="32">
        <x:v>46266.65416666667</x:v>
      </x:c>
      <x:c r="C186" s="31" t="s">
        <x:v>18</x:v>
      </x:c>
      <x:c r="D186" s="31" t="s">
        <x:v>19</x:v>
      </x:c>
      <x:c r="E186" s="31" t="s">
        <x:v>558</x:v>
      </x:c>
      <x:c r="F186" s="31" t="s">
        <x:v>78</x:v>
      </x:c>
      <x:c r="G186" s="31" t="s">
        <x:v>153</x:v>
      </x:c>
      <x:c r="H186" s="31" t="s">
        <x:v>80</x:v>
      </x:c>
      <x:c r="I186" s="31">
        <x:v>10.0</x:v>
      </x:c>
      <x:c r="J186" s="31">
        <x:v>1.42</x:v>
      </x:c>
      <x:c r="K186" s="31" t="s">
        <x:v>37</x:v>
      </x:c>
      <x:c r="L186" s="33">
        <x:v>46056.0</x:v>
      </x:c>
      <x:c r="M186" s="31">
        <x:v>0.0</x:v>
      </x:c>
      <x:c r="N186" s="31">
        <x:v>-10.0</x:v>
      </x:c>
      <x:c r="O186" s="31">
        <x:v>-1.0</x:v>
      </x:c>
      <x:c r="P186" s="31" t="s">
        <x:v>26</x:v>
      </x:c>
      <x:c r="Q186" s="1"/>
      <x:c r="R186" s="31" t="s">
        <x:v>70</x:v>
      </x:c>
    </x:row>
    <x:row r="187" ht="15.75" customHeight="1">
      <x:c r="A187" s="31">
        <x:v>2.0970965352E10</x:v>
      </x:c>
      <x:c r="B187" s="32">
        <x:v>46266.65347222222</x:v>
      </x:c>
      <x:c r="C187" s="31" t="s">
        <x:v>18</x:v>
      </x:c>
      <x:c r="D187" s="31" t="s">
        <x:v>19</x:v>
      </x:c>
      <x:c r="E187" s="31" t="s">
        <x:v>559</x:v>
      </x:c>
      <x:c r="F187" s="31" t="s">
        <x:v>234</x:v>
      </x:c>
      <x:c r="G187" s="31" t="s">
        <x:v>61</x:v>
      </x:c>
      <x:c r="H187" s="31" t="s">
        <x:v>350</x:v>
      </x:c>
      <x:c r="I187" s="31">
        <x:v>10.0</x:v>
      </x:c>
      <x:c r="J187" s="31">
        <x:v>1.53</x:v>
      </x:c>
      <x:c r="K187" s="31" t="s">
        <x:v>24</x:v>
      </x:c>
      <x:c r="L187" s="33">
        <x:v>46057.0</x:v>
      </x:c>
      <x:c r="M187" s="31">
        <x:v>15.3</x:v>
      </x:c>
      <x:c r="N187" s="31">
        <x:v>5.3</x:v>
      </x:c>
      <x:c r="O187" s="31">
        <x:v>0.53</x:v>
      </x:c>
      <x:c r="P187" s="31" t="s">
        <x:v>26</x:v>
      </x:c>
      <x:c r="Q187" s="1"/>
      <x:c r="R187" s="31" t="s">
        <x:v>70</x:v>
      </x:c>
    </x:row>
    <x:row r="188" ht="15.75" customHeight="1">
      <x:c r="A188" s="31">
        <x:v>2.0970964212E10</x:v>
      </x:c>
      <x:c r="B188" s="32">
        <x:v>46266.65347222222</x:v>
      </x:c>
      <x:c r="C188" s="31" t="s">
        <x:v>18</x:v>
      </x:c>
      <x:c r="D188" s="31" t="s">
        <x:v>19</x:v>
      </x:c>
      <x:c r="E188" s="31" t="s">
        <x:v>559</x:v>
      </x:c>
      <x:c r="F188" s="31" t="s">
        <x:v>78</x:v>
      </x:c>
      <x:c r="G188" s="31" t="s">
        <x:v>318</x:v>
      </x:c>
      <x:c r="H188" s="31" t="s">
        <x:v>104</x:v>
      </x:c>
      <x:c r="I188" s="31">
        <x:v>10.0</x:v>
      </x:c>
      <x:c r="J188" s="31">
        <x:v>1.65</x:v>
      </x:c>
      <x:c r="K188" s="31" t="s">
        <x:v>24</x:v>
      </x:c>
      <x:c r="L188" s="33">
        <x:v>46057.0</x:v>
      </x:c>
      <x:c r="M188" s="31">
        <x:v>16.5</x:v>
      </x:c>
      <x:c r="N188" s="31">
        <x:v>6.5</x:v>
      </x:c>
      <x:c r="O188" s="31">
        <x:v>0.65</x:v>
      </x:c>
      <x:c r="P188" s="31" t="s">
        <x:v>26</x:v>
      </x:c>
      <x:c r="Q188" s="1"/>
      <x:c r="R188" s="31" t="s">
        <x:v>70</x:v>
      </x:c>
    </x:row>
    <x:row r="189" ht="15.75" customHeight="1">
      <x:c r="A189" s="31">
        <x:v>2.0970954752E10</x:v>
      </x:c>
      <x:c r="B189" s="32">
        <x:v>46266.652083333334</x:v>
      </x:c>
      <x:c r="C189" s="31" t="s">
        <x:v>18</x:v>
      </x:c>
      <x:c r="D189" s="31" t="s">
        <x:v>19</x:v>
      </x:c>
      <x:c r="E189" s="31" t="s">
        <x:v>560</x:v>
      </x:c>
      <x:c r="F189" s="31" t="s">
        <x:v>234</x:v>
      </x:c>
      <x:c r="G189" s="31" t="s">
        <x:v>61</x:v>
      </x:c>
      <x:c r="H189" s="31" t="s">
        <x:v>350</x:v>
      </x:c>
      <x:c r="I189" s="31">
        <x:v>10.0</x:v>
      </x:c>
      <x:c r="J189" s="31">
        <x:v>1.7</x:v>
      </x:c>
      <x:c r="K189" s="31" t="s">
        <x:v>24</x:v>
      </x:c>
      <x:c r="L189" s="33">
        <x:v>46082.0</x:v>
      </x:c>
      <x:c r="M189" s="31">
        <x:v>17.0</x:v>
      </x:c>
      <x:c r="N189" s="31">
        <x:v>7.0</x:v>
      </x:c>
      <x:c r="O189" s="31">
        <x:v>0.7</x:v>
      </x:c>
      <x:c r="P189" s="31" t="s">
        <x:v>26</x:v>
      </x:c>
      <x:c r="Q189" s="1"/>
      <x:c r="R189" s="31" t="s">
        <x:v>70</x:v>
      </x:c>
    </x:row>
    <x:row r="190" ht="15.75" customHeight="1">
      <x:c r="A190" s="31">
        <x:v>2.0971931542E10</x:v>
      </x:c>
      <x:c r="B190" s="32">
        <x:v>46266.74930555555</x:v>
      </x:c>
      <x:c r="C190" s="31" t="s">
        <x:v>18</x:v>
      </x:c>
      <x:c r="D190" s="31" t="s">
        <x:v>19</x:v>
      </x:c>
      <x:c r="E190" s="31" t="s">
        <x:v>561</x:v>
      </x:c>
      <x:c r="F190" s="31" t="s">
        <x:v>78</x:v>
      </x:c>
      <x:c r="G190" s="31" t="s">
        <x:v>79</x:v>
      </x:c>
      <x:c r="H190" s="31" t="s">
        <x:v>80</x:v>
      </x:c>
      <x:c r="I190" s="31">
        <x:v>10.0</x:v>
      </x:c>
      <x:c r="J190" s="31">
        <x:v>1.52</x:v>
      </x:c>
      <x:c r="K190" s="31" t="s">
        <x:v>24</x:v>
      </x:c>
      <x:c r="L190" s="31" t="s">
        <x:v>29</x:v>
      </x:c>
      <x:c r="M190" s="31">
        <x:v>15.2</x:v>
      </x:c>
      <x:c r="N190" s="31">
        <x:v>5.2</x:v>
      </x:c>
      <x:c r="O190" s="31">
        <x:v>0.52</x:v>
      </x:c>
      <x:c r="P190" s="31" t="s">
        <x:v>26</x:v>
      </x:c>
      <x:c r="Q190" s="1"/>
      <x:c r="R190" s="31" t="s">
        <x:v>70</x:v>
      </x:c>
    </x:row>
    <x:row r="191" ht="15.75" customHeight="1">
      <x:c r="A191" s="31" t="s">
        <x:v>562</x:v>
      </x:c>
      <x:c r="B191" s="32">
        <x:v>46266.92222222222</x:v>
      </x:c>
      <x:c r="C191" s="31" t="s">
        <x:v>18</x:v>
      </x:c>
      <x:c r="D191" s="31" t="s">
        <x:v>19</x:v>
      </x:c>
      <x:c r="E191" s="31" t="s">
        <x:v>563</x:v>
      </x:c>
      <x:c r="F191" s="31" t="s">
        <x:v>139</x:v>
      </x:c>
      <x:c r="G191" s="31" t="s">
        <x:v>140</x:v>
      </x:c>
      <x:c r="H191" s="31" t="s">
        <x:v>141</x:v>
      </x:c>
      <x:c r="I191" s="31">
        <x:v>10.0</x:v>
      </x:c>
      <x:c r="J191" s="31">
        <x:v>1.75</x:v>
      </x:c>
      <x:c r="K191" s="31" t="s">
        <x:v>82</x:v>
      </x:c>
      <x:c r="L191" s="31" t="s">
        <x:v>35</x:v>
      </x:c>
      <x:c r="M191" s="31">
        <x:v>15.71</x:v>
      </x:c>
      <x:c r="N191" s="31">
        <x:v>5.71</x:v>
      </x:c>
      <x:c r="O191" s="31">
        <x:v>0.571</x:v>
      </x:c>
      <x:c r="P191" s="31" t="s">
        <x:v>26</x:v>
      </x:c>
      <x:c r="Q191" s="31" t="s">
        <x:v>564</x:v>
      </x:c>
      <x:c r="R191" s="31" t="s">
        <x:v>100</x:v>
      </x:c>
    </x:row>
    <x:row r="192" ht="15.75" customHeight="1">
      <x:c r="A192" s="31" t="s">
        <x:v>565</x:v>
      </x:c>
      <x:c r="B192" s="32">
        <x:v>46266.92013888889</x:v>
      </x:c>
      <x:c r="C192" s="31" t="s">
        <x:v>18</x:v>
      </x:c>
      <x:c r="D192" s="31" t="s">
        <x:v>19</x:v>
      </x:c>
      <x:c r="E192" s="31" t="s">
        <x:v>566</x:v>
      </x:c>
      <x:c r="F192" s="31" t="s">
        <x:v>21</x:v>
      </x:c>
      <x:c r="G192" s="31" t="s">
        <x:v>567</x:v>
      </x:c>
      <x:c r="H192" s="31" t="s">
        <x:v>23</x:v>
      </x:c>
      <x:c r="I192" s="31">
        <x:v>10.0</x:v>
      </x:c>
      <x:c r="J192" s="31">
        <x:v>2.18</x:v>
      </x:c>
      <x:c r="K192" s="31" t="s">
        <x:v>24</x:v>
      </x:c>
      <x:c r="L192" s="33">
        <x:v>46054.0</x:v>
      </x:c>
      <x:c r="M192" s="31">
        <x:v>21.8</x:v>
      </x:c>
      <x:c r="N192" s="31">
        <x:v>11.8</x:v>
      </x:c>
      <x:c r="O192" s="31">
        <x:v>1.18</x:v>
      </x:c>
      <x:c r="P192" s="31" t="s">
        <x:v>26</x:v>
      </x:c>
      <x:c r="Q192" s="1"/>
      <x:c r="R192" s="31" t="s">
        <x:v>100</x:v>
      </x:c>
    </x:row>
    <x:row r="193" ht="15.75" customHeight="1">
      <x:c r="A193" s="31" t="s">
        <x:v>568</x:v>
      </x:c>
      <x:c r="B193" s="32">
        <x:v>46266.86666666667</x:v>
      </x:c>
      <x:c r="C193" s="31" t="s">
        <x:v>18</x:v>
      </x:c>
      <x:c r="D193" s="31" t="s">
        <x:v>19</x:v>
      </x:c>
      <x:c r="E193" s="31" t="s">
        <x:v>569</x:v>
      </x:c>
      <x:c r="F193" s="31" t="s">
        <x:v>139</x:v>
      </x:c>
      <x:c r="G193" s="31" t="s">
        <x:v>140</x:v>
      </x:c>
      <x:c r="H193" s="31" t="s">
        <x:v>141</x:v>
      </x:c>
      <x:c r="I193" s="31">
        <x:v>10.0</x:v>
      </x:c>
      <x:c r="J193" s="31">
        <x:v>1.72</x:v>
      </x:c>
      <x:c r="K193" s="31" t="s">
        <x:v>24</x:v>
      </x:c>
      <x:c r="L193" s="33">
        <x:v>46023.0</x:v>
      </x:c>
      <x:c r="M193" s="31">
        <x:v>17.2</x:v>
      </x:c>
      <x:c r="N193" s="31">
        <x:v>7.2</x:v>
      </x:c>
      <x:c r="O193" s="31">
        <x:v>0.72</x:v>
      </x:c>
      <x:c r="P193" s="31" t="s">
        <x:v>26</x:v>
      </x:c>
      <x:c r="Q193" s="1"/>
      <x:c r="R193" s="31" t="s">
        <x:v>100</x:v>
      </x:c>
    </x:row>
    <x:row r="194" ht="15.75" customHeight="1">
      <x:c r="A194" s="31" t="s">
        <x:v>570</x:v>
      </x:c>
      <x:c r="B194" s="32">
        <x:v>46266.864583333336</x:v>
      </x:c>
      <x:c r="C194" s="31" t="s">
        <x:v>18</x:v>
      </x:c>
      <x:c r="D194" s="31" t="s">
        <x:v>19</x:v>
      </x:c>
      <x:c r="E194" s="31" t="s">
        <x:v>571</x:v>
      </x:c>
      <x:c r="F194" s="31" t="s">
        <x:v>354</x:v>
      </x:c>
      <x:c r="G194" s="31" t="s">
        <x:v>572</x:v>
      </x:c>
      <x:c r="H194" s="31" t="s">
        <x:v>573</x:v>
      </x:c>
      <x:c r="I194" s="31">
        <x:v>10.0</x:v>
      </x:c>
      <x:c r="J194" s="31">
        <x:v>1.75</x:v>
      </x:c>
      <x:c r="K194" s="31" t="s">
        <x:v>24</x:v>
      </x:c>
      <x:c r="L194" s="31" t="s">
        <x:v>29</x:v>
      </x:c>
      <x:c r="M194" s="31">
        <x:v>17.5</x:v>
      </x:c>
      <x:c r="N194" s="31">
        <x:v>7.5</x:v>
      </x:c>
      <x:c r="O194" s="31">
        <x:v>0.75</x:v>
      </x:c>
      <x:c r="P194" s="31" t="s">
        <x:v>26</x:v>
      </x:c>
      <x:c r="Q194" s="1"/>
      <x:c r="R194" s="31" t="s">
        <x:v>100</x:v>
      </x:c>
    </x:row>
    <x:row r="195" ht="15.75" customHeight="1">
      <x:c r="A195" s="31" t="s">
        <x:v>574</x:v>
      </x:c>
      <x:c r="B195" s="32">
        <x:v>46266.86319444444</x:v>
      </x:c>
      <x:c r="C195" s="31" t="s">
        <x:v>18</x:v>
      </x:c>
      <x:c r="D195" s="31" t="s">
        <x:v>19</x:v>
      </x:c>
      <x:c r="E195" s="31" t="s">
        <x:v>575</x:v>
      </x:c>
      <x:c r="F195" s="31" t="s">
        <x:v>21</x:v>
      </x:c>
      <x:c r="G195" s="31" t="s">
        <x:v>576</x:v>
      </x:c>
      <x:c r="H195" s="31" t="s">
        <x:v>23</x:v>
      </x:c>
      <x:c r="I195" s="31">
        <x:v>10.0</x:v>
      </x:c>
      <x:c r="J195" s="31">
        <x:v>1.91</x:v>
      </x:c>
      <x:c r="K195" s="31" t="s">
        <x:v>24</x:v>
      </x:c>
      <x:c r="L195" s="31" t="s">
        <x:v>75</x:v>
      </x:c>
      <x:c r="M195" s="31">
        <x:v>19.1</x:v>
      </x:c>
      <x:c r="N195" s="31">
        <x:v>9.1</x:v>
      </x:c>
      <x:c r="O195" s="31">
        <x:v>0.91</x:v>
      </x:c>
      <x:c r="P195" s="31" t="s">
        <x:v>26</x:v>
      </x:c>
      <x:c r="Q195" s="1"/>
      <x:c r="R195" s="31" t="s">
        <x:v>100</x:v>
      </x:c>
    </x:row>
    <x:row r="196" ht="15.75" customHeight="1">
      <x:c r="A196" s="31" t="s">
        <x:v>577</x:v>
      </x:c>
      <x:c r="B196" s="32">
        <x:v>46266.75069444445</x:v>
      </x:c>
      <x:c r="C196" s="31" t="s">
        <x:v>18</x:v>
      </x:c>
      <x:c r="D196" s="31" t="s">
        <x:v>19</x:v>
      </x:c>
      <x:c r="E196" s="31" t="s">
        <x:v>557</x:v>
      </x:c>
      <x:c r="F196" s="31" t="s">
        <x:v>78</x:v>
      </x:c>
      <x:c r="G196" s="31" t="s">
        <x:v>153</x:v>
      </x:c>
      <x:c r="H196" s="31" t="s">
        <x:v>80</x:v>
      </x:c>
      <x:c r="I196" s="31">
        <x:v>10.0</x:v>
      </x:c>
      <x:c r="J196" s="31">
        <x:v>1.34</x:v>
      </x:c>
      <x:c r="K196" s="31" t="s">
        <x:v>37</x:v>
      </x:c>
      <x:c r="L196" s="33">
        <x:v>46055.0</x:v>
      </x:c>
      <x:c r="M196" s="31">
        <x:v>0.0</x:v>
      </x:c>
      <x:c r="N196" s="31">
        <x:v>-10.0</x:v>
      </x:c>
      <x:c r="O196" s="31">
        <x:v>-1.0</x:v>
      </x:c>
      <x:c r="P196" s="31" t="s">
        <x:v>26</x:v>
      </x:c>
      <x:c r="Q196" s="1"/>
      <x:c r="R196" s="31" t="s">
        <x:v>70</x:v>
      </x:c>
    </x:row>
    <x:row r="197" ht="15.75" customHeight="1">
      <x:c r="A197" s="31" t="s">
        <x:v>578</x:v>
      </x:c>
      <x:c r="B197" s="32">
        <x:v>46266.65138888889</x:v>
      </x:c>
      <x:c r="C197" s="31" t="s">
        <x:v>18</x:v>
      </x:c>
      <x:c r="D197" s="31" t="s">
        <x:v>19</x:v>
      </x:c>
      <x:c r="E197" s="31" t="s">
        <x:v>579</x:v>
      </x:c>
      <x:c r="F197" s="31" t="s">
        <x:v>78</x:v>
      </x:c>
      <x:c r="G197" s="31" t="s">
        <x:v>318</x:v>
      </x:c>
      <x:c r="H197" s="31" t="s">
        <x:v>104</x:v>
      </x:c>
      <x:c r="I197" s="31">
        <x:v>10.0</x:v>
      </x:c>
      <x:c r="J197" s="31">
        <x:v>1.34</x:v>
      </x:c>
      <x:c r="K197" s="31" t="s">
        <x:v>24</x:v>
      </x:c>
      <x:c r="L197" s="31" t="s">
        <x:v>64</x:v>
      </x:c>
      <x:c r="M197" s="31">
        <x:v>13.4</x:v>
      </x:c>
      <x:c r="N197" s="31">
        <x:v>3.4</x:v>
      </x:c>
      <x:c r="O197" s="31">
        <x:v>0.34</x:v>
      </x:c>
      <x:c r="P197" s="31" t="s">
        <x:v>26</x:v>
      </x:c>
      <x:c r="Q197" s="1"/>
      <x:c r="R197" s="31" t="s">
        <x:v>70</x:v>
      </x:c>
    </x:row>
    <x:row r="198" ht="15.75" customHeight="1">
      <x:c r="A198" s="31" t="s">
        <x:v>580</x:v>
      </x:c>
      <x:c r="B198" s="32">
        <x:v>46266.65138888889</x:v>
      </x:c>
      <x:c r="C198" s="31" t="s">
        <x:v>18</x:v>
      </x:c>
      <x:c r="D198" s="31" t="s">
        <x:v>19</x:v>
      </x:c>
      <x:c r="E198" s="31" t="s">
        <x:v>579</x:v>
      </x:c>
      <x:c r="F198" s="31" t="s">
        <x:v>186</x:v>
      </x:c>
      <x:c r="G198" s="31" t="s">
        <x:v>581</x:v>
      </x:c>
      <x:c r="H198" s="31" t="s">
        <x:v>23</x:v>
      </x:c>
      <x:c r="I198" s="31">
        <x:v>10.0</x:v>
      </x:c>
      <x:c r="J198" s="31">
        <x:v>1.9</x:v>
      </x:c>
      <x:c r="K198" s="31" t="s">
        <x:v>24</x:v>
      </x:c>
      <x:c r="L198" s="31" t="s">
        <x:v>64</x:v>
      </x:c>
      <x:c r="M198" s="31">
        <x:v>19.0</x:v>
      </x:c>
      <x:c r="N198" s="31">
        <x:v>9.0</x:v>
      </x:c>
      <x:c r="O198" s="31">
        <x:v>0.9</x:v>
      </x:c>
      <x:c r="P198" s="31" t="s">
        <x:v>61</x:v>
      </x:c>
      <x:c r="Q198" s="1"/>
      <x:c r="R198" s="31" t="s">
        <x:v>70</x:v>
      </x:c>
    </x:row>
    <x:row r="199" ht="15.75" customHeight="1">
      <x:c r="A199" s="31" t="s">
        <x:v>582</x:v>
      </x:c>
      <x:c r="B199" s="32">
        <x:v>46266.64375</x:v>
      </x:c>
      <x:c r="C199" s="31" t="s">
        <x:v>18</x:v>
      </x:c>
      <x:c r="D199" s="31" t="s">
        <x:v>19</x:v>
      </x:c>
      <x:c r="E199" s="31" t="s">
        <x:v>583</x:v>
      </x:c>
      <x:c r="F199" s="31" t="s">
        <x:v>78</x:v>
      </x:c>
      <x:c r="G199" s="31" t="s">
        <x:v>79</x:v>
      </x:c>
      <x:c r="H199" s="31" t="s">
        <x:v>80</x:v>
      </x:c>
      <x:c r="I199" s="31">
        <x:v>10.0</x:v>
      </x:c>
      <x:c r="J199" s="31">
        <x:v>1.6</x:v>
      </x:c>
      <x:c r="K199" s="31" t="s">
        <x:v>24</x:v>
      </x:c>
      <x:c r="L199" s="31" t="s">
        <x:v>35</x:v>
      </x:c>
      <x:c r="M199" s="31">
        <x:v>16.0</x:v>
      </x:c>
      <x:c r="N199" s="31">
        <x:v>6.0</x:v>
      </x:c>
      <x:c r="O199" s="31">
        <x:v>0.6</x:v>
      </x:c>
      <x:c r="P199" s="31" t="s">
        <x:v>26</x:v>
      </x:c>
      <x:c r="Q199" s="1"/>
      <x:c r="R199" s="31" t="s">
        <x:v>70</x:v>
      </x:c>
    </x:row>
    <x:row r="200" ht="15.75" customHeight="1">
      <x:c r="A200" s="31" t="s">
        <x:v>584</x:v>
      </x:c>
      <x:c r="B200" s="32">
        <x:v>46266.643055555556</x:v>
      </x:c>
      <x:c r="C200" s="31" t="s">
        <x:v>18</x:v>
      </x:c>
      <x:c r="D200" s="31" t="s">
        <x:v>19</x:v>
      </x:c>
      <x:c r="E200" s="31" t="s">
        <x:v>583</x:v>
      </x:c>
      <x:c r="F200" s="31" t="s">
        <x:v>585</x:v>
      </x:c>
      <x:c r="G200" s="31" t="s">
        <x:v>586</x:v>
      </x:c>
      <x:c r="H200" s="31" t="s">
        <x:v>585</x:v>
      </x:c>
      <x:c r="I200" s="31">
        <x:v>10.0</x:v>
      </x:c>
      <x:c r="J200" s="31">
        <x:v>1.51</x:v>
      </x:c>
      <x:c r="K200" s="31" t="s">
        <x:v>587</x:v>
      </x:c>
      <x:c r="L200" s="31" t="s">
        <x:v>35</x:v>
      </x:c>
      <x:c r="M200" s="31">
        <x:v>10.0</x:v>
      </x:c>
      <x:c r="N200" s="31">
        <x:v>0.0</x:v>
      </x:c>
      <x:c r="O200" s="31">
        <x:v>0.0</x:v>
      </x:c>
      <x:c r="P200" s="31" t="s">
        <x:v>26</x:v>
      </x:c>
      <x:c r="Q200" s="31" t="s">
        <x:v>588</x:v>
      </x:c>
      <x:c r="R200" s="31" t="s">
        <x:v>70</x:v>
      </x:c>
    </x:row>
    <x:row r="201" ht="15.75" customHeight="1">
      <x:c r="A201" s="31">
        <x:v>2.0970953222E10</x:v>
      </x:c>
      <x:c r="B201" s="32">
        <x:v>46266.652083333334</x:v>
      </x:c>
      <x:c r="C201" s="31" t="s">
        <x:v>18</x:v>
      </x:c>
      <x:c r="D201" s="31" t="s">
        <x:v>19</x:v>
      </x:c>
      <x:c r="E201" s="31" t="s">
        <x:v>560</x:v>
      </x:c>
      <x:c r="F201" s="31" t="s">
        <x:v>585</x:v>
      </x:c>
      <x:c r="G201" s="31" t="s">
        <x:v>589</x:v>
      </x:c>
      <x:c r="H201" s="31" t="s">
        <x:v>585</x:v>
      </x:c>
      <x:c r="I201" s="31">
        <x:v>10.0</x:v>
      </x:c>
      <x:c r="J201" s="31">
        <x:v>1.78</x:v>
      </x:c>
      <x:c r="K201" s="31" t="s">
        <x:v>24</x:v>
      </x:c>
      <x:c r="L201" s="33">
        <x:v>46082.0</x:v>
      </x:c>
      <x:c r="M201" s="31">
        <x:v>17.8</x:v>
      </x:c>
      <x:c r="N201" s="31">
        <x:v>7.8</x:v>
      </x:c>
      <x:c r="O201" s="31">
        <x:v>0.78</x:v>
      </x:c>
      <x:c r="P201" s="31" t="s">
        <x:v>26</x:v>
      </x:c>
      <x:c r="Q201" s="1"/>
      <x:c r="R201" s="31" t="s">
        <x:v>70</x:v>
      </x:c>
    </x:row>
    <x:row r="202" ht="15.75" customHeight="1">
      <x:c r="A202" s="10" t="s">
        <x:v>590</x:v>
      </x:c>
      <x:c r="B202" s="10" t="s">
        <x:v>591</x:v>
      </x:c>
      <x:c r="C202" s="1" t="s">
        <x:v>18</x:v>
      </x:c>
      <x:c r="D202" s="1" t="s">
        <x:v>19</x:v>
      </x:c>
      <x:c r="E202" s="1" t="s">
        <x:v>592</x:v>
      </x:c>
      <x:c r="F202" s="1" t="s">
        <x:v>354</x:v>
      </x:c>
      <x:c r="G202" s="1" t="s">
        <x:v>593</x:v>
      </x:c>
      <x:c r="H202" s="1" t="s">
        <x:v>594</x:v>
      </x:c>
      <x:c r="I202" s="1">
        <x:v>10.0</x:v>
      </x:c>
      <x:c r="J202" s="1">
        <x:v>2.25</x:v>
      </x:c>
      <x:c r="K202" s="1" t="s">
        <x:v>595</x:v>
      </x:c>
      <x:c r="L202" s="10" t="s">
        <x:v>38</x:v>
      </x:c>
      <x:c r="M202" s="1">
        <x:v>22.5</x:v>
      </x:c>
      <x:c r="N202" s="1">
        <x:v>12.5</x:v>
      </x:c>
      <x:c r="O202" s="2" t="n">
        <x:f t="shared" ref="O202:O221" si="2">IFERROR(N202/I202,0)</x:f>
        <x:v>1.25</x:v>
      </x:c>
      <x:c r="P202" s="1" t="s">
        <x:v>26</x:v>
      </x:c>
      <x:c r="Q202" s="1" t="s">
        <x:v>187</x:v>
      </x:c>
      <x:c r="R202" s="1" t="s">
        <x:v>70</x:v>
      </x:c>
    </x:row>
    <x:row r="203" ht="15.75" customHeight="1">
      <x:c r="A203" s="10" t="s">
        <x:v>596</x:v>
      </x:c>
      <x:c r="B203" s="10" t="s">
        <x:v>597</x:v>
      </x:c>
      <x:c r="C203" s="1" t="s">
        <x:v>18</x:v>
      </x:c>
      <x:c r="D203" s="1" t="s">
        <x:v>19</x:v>
      </x:c>
      <x:c r="E203" s="1" t="s">
        <x:v>598</x:v>
      </x:c>
      <x:c r="F203" s="1" t="s">
        <x:v>234</x:v>
      </x:c>
      <x:c r="G203" s="1" t="s">
        <x:v>61</x:v>
      </x:c>
      <x:c r="H203" s="1" t="s">
        <x:v>350</x:v>
      </x:c>
      <x:c r="I203" s="1">
        <x:v>10.0</x:v>
      </x:c>
      <x:c r="J203" s="1">
        <x:v>2.05</x:v>
      </x:c>
      <x:c r="K203" s="1" t="s">
        <x:v>599</x:v>
      </x:c>
      <x:c r="L203" s="1" t="s">
        <x:v>29</x:v>
      </x:c>
      <x:c r="M203" s="1">
        <x:v>0.0</x:v>
      </x:c>
      <x:c r="N203" s="1">
        <x:v>-10.0</x:v>
      </x:c>
      <x:c r="O203" s="2">
        <x:f t="shared" si="2"/>
        <x:v>-1</x:v>
      </x:c>
      <x:c r="P203" s="1" t="s">
        <x:v>26</x:v>
      </x:c>
      <x:c r="Q203" s="1" t="s">
        <x:v>187</x:v>
      </x:c>
      <x:c r="R203" s="1" t="s">
        <x:v>70</x:v>
      </x:c>
    </x:row>
    <x:row r="204" ht="15.75" customHeight="1">
      <x:c r="A204" s="10" t="s">
        <x:v>600</x:v>
      </x:c>
      <x:c r="B204" s="10" t="s">
        <x:v>601</x:v>
      </x:c>
      <x:c r="C204" s="1" t="s">
        <x:v>18</x:v>
      </x:c>
      <x:c r="D204" s="1" t="s">
        <x:v>19</x:v>
      </x:c>
      <x:c r="E204" s="1" t="s">
        <x:v>602</x:v>
      </x:c>
      <x:c r="F204" s="1" t="s">
        <x:v>78</x:v>
      </x:c>
      <x:c r="G204" s="1" t="s">
        <x:v>318</x:v>
      </x:c>
      <x:c r="H204" s="1" t="s">
        <x:v>104</x:v>
      </x:c>
      <x:c r="I204" s="1">
        <x:v>10.0</x:v>
      </x:c>
      <x:c r="J204" s="1">
        <x:v>2.02</x:v>
      </x:c>
      <x:c r="K204" s="1" t="s">
        <x:v>599</x:v>
      </x:c>
      <x:c r="L204" s="1" t="s">
        <x:v>35</x:v>
      </x:c>
      <x:c r="M204" s="1">
        <x:v>0.0</x:v>
      </x:c>
      <x:c r="N204" s="1">
        <x:v>-10.0</x:v>
      </x:c>
      <x:c r="O204" s="2">
        <x:f t="shared" si="2"/>
        <x:v>-1</x:v>
      </x:c>
      <x:c r="P204" s="1" t="s">
        <x:v>26</x:v>
      </x:c>
      <x:c r="Q204" s="1" t="s">
        <x:v>187</x:v>
      </x:c>
      <x:c r="R204" s="1" t="s">
        <x:v>70</x:v>
      </x:c>
    </x:row>
    <x:row r="205" ht="15.75" customHeight="1">
      <x:c r="A205" s="10" t="s">
        <x:v>603</x:v>
      </x:c>
      <x:c r="B205" s="10" t="s">
        <x:v>604</x:v>
      </x:c>
      <x:c r="C205" s="1" t="s">
        <x:v>18</x:v>
      </x:c>
      <x:c r="D205" s="1" t="s">
        <x:v>19</x:v>
      </x:c>
      <x:c r="E205" s="1" t="s">
        <x:v>602</x:v>
      </x:c>
      <x:c r="F205" s="1" t="s">
        <x:v>234</x:v>
      </x:c>
      <x:c r="G205" s="1" t="s">
        <x:v>61</x:v>
      </x:c>
      <x:c r="H205" s="1" t="s">
        <x:v>350</x:v>
      </x:c>
      <x:c r="I205" s="1">
        <x:v>10.0</x:v>
      </x:c>
      <x:c r="J205" s="1">
        <x:v>1.75</x:v>
      </x:c>
      <x:c r="K205" s="1" t="s">
        <x:v>599</x:v>
      </x:c>
      <x:c r="L205" s="1" t="s">
        <x:v>35</x:v>
      </x:c>
      <x:c r="M205" s="1">
        <x:v>0.0</x:v>
      </x:c>
      <x:c r="N205" s="1">
        <x:v>-10.0</x:v>
      </x:c>
      <x:c r="O205" s="2">
        <x:f t="shared" si="2"/>
        <x:v>-1</x:v>
      </x:c>
      <x:c r="P205" s="1" t="s">
        <x:v>26</x:v>
      </x:c>
      <x:c r="Q205" s="1" t="s">
        <x:v>187</x:v>
      </x:c>
      <x:c r="R205" s="1" t="s">
        <x:v>70</x:v>
      </x:c>
    </x:row>
    <x:row r="206" ht="15.75" customHeight="1">
      <x:c r="A206" s="10" t="s">
        <x:v>605</x:v>
      </x:c>
      <x:c r="B206" s="10" t="s">
        <x:v>606</x:v>
      </x:c>
      <x:c r="C206" s="1" t="s">
        <x:v>18</x:v>
      </x:c>
      <x:c r="D206" s="1" t="s">
        <x:v>19</x:v>
      </x:c>
      <x:c r="E206" s="1" t="s">
        <x:v>607</x:v>
      </x:c>
      <x:c r="F206" s="1" t="s">
        <x:v>354</x:v>
      </x:c>
      <x:c r="G206" s="1" t="s">
        <x:v>608</x:v>
      </x:c>
      <x:c r="H206" s="1" t="s">
        <x:v>393</x:v>
      </x:c>
      <x:c r="I206" s="1">
        <x:v>10.0</x:v>
      </x:c>
      <x:c r="J206" s="1">
        <x:v>2.0</x:v>
      </x:c>
      <x:c r="K206" s="1" t="s">
        <x:v>595</x:v>
      </x:c>
      <x:c r="L206" s="1" t="s">
        <x:v>75</x:v>
      </x:c>
      <x:c r="M206" s="1">
        <x:v>20.0</x:v>
      </x:c>
      <x:c r="N206" s="1">
        <x:v>10.0</x:v>
      </x:c>
      <x:c r="O206" s="2">
        <x:f t="shared" si="2"/>
        <x:v>1</x:v>
      </x:c>
      <x:c r="P206" s="1" t="s">
        <x:v>26</x:v>
      </x:c>
      <x:c r="Q206" s="1" t="s">
        <x:v>187</x:v>
      </x:c>
      <x:c r="R206" s="1" t="s">
        <x:v>70</x:v>
      </x:c>
    </x:row>
    <x:row r="207" ht="15.75" customHeight="1">
      <x:c r="A207" s="10" t="s">
        <x:v>609</x:v>
      </x:c>
      <x:c r="B207" s="10" t="s">
        <x:v>610</x:v>
      </x:c>
      <x:c r="C207" s="1" t="s">
        <x:v>18</x:v>
      </x:c>
      <x:c r="D207" s="1" t="s">
        <x:v>19</x:v>
      </x:c>
      <x:c r="E207" s="1" t="s">
        <x:v>607</x:v>
      </x:c>
      <x:c r="F207" s="1" t="s">
        <x:v>234</x:v>
      </x:c>
      <x:c r="G207" s="1" t="s">
        <x:v>61</x:v>
      </x:c>
      <x:c r="H207" s="1" t="s">
        <x:v>350</x:v>
      </x:c>
      <x:c r="I207" s="1">
        <x:v>10.0</x:v>
      </x:c>
      <x:c r="J207" s="1">
        <x:v>1.93</x:v>
      </x:c>
      <x:c r="K207" s="1" t="s">
        <x:v>599</x:v>
      </x:c>
      <x:c r="L207" s="1" t="s">
        <x:v>75</x:v>
      </x:c>
      <x:c r="M207" s="1">
        <x:v>0.0</x:v>
      </x:c>
      <x:c r="N207" s="1">
        <x:v>-10.0</x:v>
      </x:c>
      <x:c r="O207" s="2">
        <x:f t="shared" si="2"/>
        <x:v>-1</x:v>
      </x:c>
      <x:c r="P207" s="1" t="s">
        <x:v>26</x:v>
      </x:c>
      <x:c r="Q207" s="1" t="s">
        <x:v>187</x:v>
      </x:c>
      <x:c r="R207" s="1" t="s">
        <x:v>70</x:v>
      </x:c>
    </x:row>
    <x:row r="208" ht="15.75" customHeight="1">
      <x:c r="A208" s="10" t="s">
        <x:v>611</x:v>
      </x:c>
      <x:c r="B208" s="10" t="s">
        <x:v>612</x:v>
      </x:c>
      <x:c r="C208" s="1" t="s">
        <x:v>18</x:v>
      </x:c>
      <x:c r="D208" s="1" t="s">
        <x:v>19</x:v>
      </x:c>
      <x:c r="E208" s="1" t="s">
        <x:v>613</x:v>
      </x:c>
      <x:c r="F208" s="1" t="s">
        <x:v>354</x:v>
      </x:c>
      <x:c r="G208" s="1" t="s">
        <x:v>614</x:v>
      </x:c>
      <x:c r="H208" s="1" t="s">
        <x:v>615</x:v>
      </x:c>
      <x:c r="I208" s="1">
        <x:v>20.0</x:v>
      </x:c>
      <x:c r="J208" s="1">
        <x:v>1.62</x:v>
      </x:c>
      <x:c r="K208" s="1" t="s">
        <x:v>595</x:v>
      </x:c>
      <x:c r="L208" s="1" t="s">
        <x:v>262</x:v>
      </x:c>
      <x:c r="M208" s="1">
        <x:v>32.4</x:v>
      </x:c>
      <x:c r="N208" s="1">
        <x:v>12.4</x:v>
      </x:c>
      <x:c r="O208" s="2">
        <x:f t="shared" si="2"/>
        <x:v>0.62</x:v>
      </x:c>
      <x:c r="P208" s="1" t="s">
        <x:v>26</x:v>
      </x:c>
      <x:c r="Q208" s="1" t="s">
        <x:v>187</x:v>
      </x:c>
      <x:c r="R208" s="1" t="s">
        <x:v>70</x:v>
      </x:c>
    </x:row>
    <x:row r="209" ht="15.75" customHeight="1">
      <x:c r="A209" s="10" t="s">
        <x:v>616</x:v>
      </x:c>
      <x:c r="B209" s="10" t="s">
        <x:v>617</x:v>
      </x:c>
      <x:c r="C209" s="1" t="s">
        <x:v>18</x:v>
      </x:c>
      <x:c r="D209" s="1" t="s">
        <x:v>19</x:v>
      </x:c>
      <x:c r="E209" s="1" t="s">
        <x:v>613</x:v>
      </x:c>
      <x:c r="F209" s="1" t="s">
        <x:v>234</x:v>
      </x:c>
      <x:c r="G209" s="1" t="s">
        <x:v>61</x:v>
      </x:c>
      <x:c r="H209" s="1" t="s">
        <x:v>350</x:v>
      </x:c>
      <x:c r="I209" s="1">
        <x:v>10.0</x:v>
      </x:c>
      <x:c r="J209" s="1">
        <x:v>2.2</x:v>
      </x:c>
      <x:c r="K209" s="1" t="s">
        <x:v>599</x:v>
      </x:c>
      <x:c r="L209" s="1" t="s">
        <x:v>262</x:v>
      </x:c>
      <x:c r="M209" s="1">
        <x:v>7.77</x:v>
      </x:c>
      <x:c r="N209" s="1">
        <x:v>-2.23</x:v>
      </x:c>
      <x:c r="O209" s="2">
        <x:f t="shared" si="2"/>
        <x:v>-0.223</x:v>
      </x:c>
      <x:c r="P209" s="1" t="s">
        <x:v>26</x:v>
      </x:c>
      <x:c r="Q209" s="1" t="s">
        <x:v>453</x:v>
      </x:c>
      <x:c r="R209" s="1" t="s">
        <x:v>70</x:v>
      </x:c>
    </x:row>
    <x:row r="210" ht="15.75" customHeight="1">
      <x:c r="A210" s="10" t="s">
        <x:v>618</x:v>
      </x:c>
      <x:c r="B210" s="10" t="s">
        <x:v>619</x:v>
      </x:c>
      <x:c r="C210" s="1" t="s">
        <x:v>18</x:v>
      </x:c>
      <x:c r="D210" s="1" t="s">
        <x:v>19</x:v>
      </x:c>
      <x:c r="E210" s="1" t="s">
        <x:v>620</x:v>
      </x:c>
      <x:c r="F210" s="1" t="s">
        <x:v>354</x:v>
      </x:c>
      <x:c r="G210" s="1" t="s">
        <x:v>621</x:v>
      </x:c>
      <x:c r="H210" s="1" t="s">
        <x:v>622</x:v>
      </x:c>
      <x:c r="I210" s="1">
        <x:v>10.0</x:v>
      </x:c>
      <x:c r="J210" s="1">
        <x:v>2.45</x:v>
      </x:c>
      <x:c r="K210" s="1" t="s">
        <x:v>599</x:v>
      </x:c>
      <x:c r="L210" s="1" t="s">
        <x:v>182</x:v>
      </x:c>
      <x:c r="M210" s="1">
        <x:v>0.0</x:v>
      </x:c>
      <x:c r="N210" s="1">
        <x:v>-10.0</x:v>
      </x:c>
      <x:c r="O210" s="2">
        <x:f t="shared" si="2"/>
        <x:v>-1</x:v>
      </x:c>
      <x:c r="P210" s="1" t="s">
        <x:v>26</x:v>
      </x:c>
      <x:c r="Q210" s="1" t="s">
        <x:v>187</x:v>
      </x:c>
      <x:c r="R210" s="1" t="s">
        <x:v>100</x:v>
      </x:c>
    </x:row>
    <x:row r="211" ht="15.75" customHeight="1">
      <x:c r="A211" s="10" t="s">
        <x:v>623</x:v>
      </x:c>
      <x:c r="B211" s="10" t="s">
        <x:v>624</x:v>
      </x:c>
      <x:c r="C211" s="1" t="s">
        <x:v>18</x:v>
      </x:c>
      <x:c r="D211" s="1" t="s">
        <x:v>19</x:v>
      </x:c>
      <x:c r="E211" s="1" t="s">
        <x:v>625</x:v>
      </x:c>
      <x:c r="F211" s="1" t="s">
        <x:v>78</x:v>
      </x:c>
      <x:c r="G211" s="1" t="s">
        <x:v>381</x:v>
      </x:c>
      <x:c r="H211" s="1" t="s">
        <x:v>104</x:v>
      </x:c>
      <x:c r="I211" s="1">
        <x:v>10.0</x:v>
      </x:c>
      <x:c r="J211" s="1">
        <x:v>1.35</x:v>
      </x:c>
      <x:c r="K211" s="1" t="s">
        <x:v>595</x:v>
      </x:c>
      <x:c r="L211" s="1" t="s">
        <x:v>29</x:v>
      </x:c>
      <x:c r="M211" s="1">
        <x:v>13.5</x:v>
      </x:c>
      <x:c r="N211" s="1">
        <x:v>3.5</x:v>
      </x:c>
      <x:c r="O211" s="2">
        <x:f t="shared" si="2"/>
        <x:v>0.35</x:v>
      </x:c>
      <x:c r="P211" s="1" t="s">
        <x:v>26</x:v>
      </x:c>
      <x:c r="Q211" s="1" t="s">
        <x:v>187</x:v>
      </x:c>
      <x:c r="R211" s="1" t="s">
        <x:v>100</x:v>
      </x:c>
    </x:row>
    <x:row r="212" ht="15.75" customHeight="1">
      <x:c r="A212" s="10" t="s">
        <x:v>626</x:v>
      </x:c>
      <x:c r="B212" s="10" t="s">
        <x:v>627</x:v>
      </x:c>
      <x:c r="C212" s="1" t="s">
        <x:v>18</x:v>
      </x:c>
      <x:c r="D212" s="1" t="s">
        <x:v>19</x:v>
      </x:c>
      <x:c r="E212" s="1" t="s">
        <x:v>628</x:v>
      </x:c>
      <x:c r="F212" s="1" t="s">
        <x:v>78</x:v>
      </x:c>
      <x:c r="G212" s="1" t="s">
        <x:v>318</x:v>
      </x:c>
      <x:c r="H212" s="1" t="s">
        <x:v>104</x:v>
      </x:c>
      <x:c r="I212" s="1">
        <x:v>10.0</x:v>
      </x:c>
      <x:c r="J212" s="1">
        <x:v>1.27</x:v>
      </x:c>
      <x:c r="K212" s="1" t="s">
        <x:v>595</x:v>
      </x:c>
      <x:c r="L212" s="10" t="s">
        <x:v>38</x:v>
      </x:c>
      <x:c r="M212" s="1">
        <x:v>12.7</x:v>
      </x:c>
      <x:c r="N212" s="1">
        <x:v>2.7</x:v>
      </x:c>
      <x:c r="O212" s="2">
        <x:f t="shared" si="2"/>
        <x:v>0.27</x:v>
      </x:c>
      <x:c r="P212" s="1" t="s">
        <x:v>26</x:v>
      </x:c>
      <x:c r="Q212" s="1" t="s">
        <x:v>187</x:v>
      </x:c>
      <x:c r="R212" s="1" t="s">
        <x:v>100</x:v>
      </x:c>
    </x:row>
    <x:row r="213" ht="15.75" customHeight="1">
      <x:c r="A213" s="10" t="s">
        <x:v>629</x:v>
      </x:c>
      <x:c r="B213" s="10" t="s">
        <x:v>630</x:v>
      </x:c>
      <x:c r="C213" s="1" t="s">
        <x:v>18</x:v>
      </x:c>
      <x:c r="D213" s="1" t="s">
        <x:v>19</x:v>
      </x:c>
      <x:c r="E213" s="1" t="s">
        <x:v>631</x:v>
      </x:c>
      <x:c r="F213" s="1" t="s">
        <x:v>369</x:v>
      </x:c>
      <x:c r="G213" s="1" t="s">
        <x:v>632</x:v>
      </x:c>
      <x:c r="H213" s="1" t="s">
        <x:v>371</x:v>
      </x:c>
      <x:c r="I213" s="1">
        <x:v>10.0</x:v>
      </x:c>
      <x:c r="J213" s="1">
        <x:v>1.29</x:v>
      </x:c>
      <x:c r="K213" s="1" t="s">
        <x:v>595</x:v>
      </x:c>
      <x:c r="L213" s="10" t="s">
        <x:v>633</x:v>
      </x:c>
      <x:c r="M213" s="1">
        <x:v>12.9</x:v>
      </x:c>
      <x:c r="N213" s="1">
        <x:v>2.9</x:v>
      </x:c>
      <x:c r="O213" s="2">
        <x:f t="shared" si="2"/>
        <x:v>0.29</x:v>
      </x:c>
      <x:c r="P213" s="1" t="s">
        <x:v>26</x:v>
      </x:c>
      <x:c r="Q213" s="1" t="s">
        <x:v>187</x:v>
      </x:c>
      <x:c r="R213" s="1" t="s">
        <x:v>100</x:v>
      </x:c>
    </x:row>
    <x:row r="214" ht="15.75" customHeight="1">
      <x:c r="A214" s="10" t="s">
        <x:v>634</x:v>
      </x:c>
      <x:c r="B214" s="10" t="s">
        <x:v>635</x:v>
      </x:c>
      <x:c r="C214" s="1" t="s">
        <x:v>18</x:v>
      </x:c>
      <x:c r="D214" s="1" t="s">
        <x:v>19</x:v>
      </x:c>
      <x:c r="E214" s="1" t="s">
        <x:v>636</x:v>
      </x:c>
      <x:c r="F214" s="1" t="s">
        <x:v>78</x:v>
      </x:c>
      <x:c r="G214" s="1" t="s">
        <x:v>318</x:v>
      </x:c>
      <x:c r="H214" s="1" t="s">
        <x:v>104</x:v>
      </x:c>
      <x:c r="I214" s="1">
        <x:v>10.0</x:v>
      </x:c>
      <x:c r="J214" s="1">
        <x:v>2.15</x:v>
      </x:c>
      <x:c r="K214" s="1" t="s">
        <x:v>599</x:v>
      </x:c>
      <x:c r="L214" s="10" t="s">
        <x:v>44</x:v>
      </x:c>
      <x:c r="M214" s="1">
        <x:v>0.0</x:v>
      </x:c>
      <x:c r="N214" s="1">
        <x:v>-10.0</x:v>
      </x:c>
      <x:c r="O214" s="2">
        <x:f t="shared" si="2"/>
        <x:v>-1</x:v>
      </x:c>
      <x:c r="P214" s="1" t="s">
        <x:v>26</x:v>
      </x:c>
      <x:c r="Q214" s="1" t="s">
        <x:v>187</x:v>
      </x:c>
      <x:c r="R214" s="1" t="s">
        <x:v>100</x:v>
      </x:c>
    </x:row>
    <x:row r="215" ht="15.75" customHeight="1">
      <x:c r="A215" s="10" t="s">
        <x:v>637</x:v>
      </x:c>
      <x:c r="B215" s="10" t="s">
        <x:v>638</x:v>
      </x:c>
      <x:c r="C215" s="1" t="s">
        <x:v>18</x:v>
      </x:c>
      <x:c r="D215" s="1" t="s">
        <x:v>19</x:v>
      </x:c>
      <x:c r="E215" s="1" t="s">
        <x:v>639</x:v>
      </x:c>
      <x:c r="F215" s="1" t="s">
        <x:v>78</x:v>
      </x:c>
      <x:c r="G215" s="1" t="s">
        <x:v>318</x:v>
      </x:c>
      <x:c r="H215" s="1" t="s">
        <x:v>104</x:v>
      </x:c>
      <x:c r="I215" s="1">
        <x:v>10.0</x:v>
      </x:c>
      <x:c r="J215" s="1">
        <x:v>1.75</x:v>
      </x:c>
      <x:c r="K215" s="1" t="s">
        <x:v>599</x:v>
      </x:c>
      <x:c r="L215" s="10" t="s">
        <x:v>44</x:v>
      </x:c>
      <x:c r="M215" s="1">
        <x:v>0.0</x:v>
      </x:c>
      <x:c r="N215" s="1">
        <x:v>-10.0</x:v>
      </x:c>
      <x:c r="O215" s="2">
        <x:f t="shared" si="2"/>
        <x:v>-1</x:v>
      </x:c>
      <x:c r="P215" s="1" t="s">
        <x:v>26</x:v>
      </x:c>
      <x:c r="Q215" s="1" t="s">
        <x:v>187</x:v>
      </x:c>
      <x:c r="R215" s="1" t="s">
        <x:v>100</x:v>
      </x:c>
    </x:row>
    <x:row r="216" ht="15.75" customHeight="1">
      <x:c r="A216" s="10" t="s">
        <x:v>640</x:v>
      </x:c>
      <x:c r="B216" s="10" t="s">
        <x:v>641</x:v>
      </x:c>
      <x:c r="C216" s="1" t="s">
        <x:v>18</x:v>
      </x:c>
      <x:c r="D216" s="1" t="s">
        <x:v>19</x:v>
      </x:c>
      <x:c r="E216" s="1" t="s">
        <x:v>642</x:v>
      </x:c>
      <x:c r="F216" s="1" t="s">
        <x:v>354</x:v>
      </x:c>
      <x:c r="G216" s="1" t="s">
        <x:v>643</x:v>
      </x:c>
      <x:c r="H216" s="1" t="s">
        <x:v>644</x:v>
      </x:c>
      <x:c r="I216" s="1">
        <x:v>10.0</x:v>
      </x:c>
      <x:c r="J216" s="1">
        <x:v>3.6</x:v>
      </x:c>
      <x:c r="K216" s="1" t="s">
        <x:v>599</x:v>
      </x:c>
      <x:c r="L216" s="1" t="s">
        <x:v>35</x:v>
      </x:c>
      <x:c r="M216" s="1">
        <x:v>0.0</x:v>
      </x:c>
      <x:c r="N216" s="1">
        <x:v>-10.0</x:v>
      </x:c>
      <x:c r="O216" s="2">
        <x:f t="shared" si="2"/>
        <x:v>-1</x:v>
      </x:c>
      <x:c r="P216" s="1" t="s">
        <x:v>26</x:v>
      </x:c>
      <x:c r="Q216" s="1" t="s">
        <x:v>187</x:v>
      </x:c>
      <x:c r="R216" s="1" t="s">
        <x:v>100</x:v>
      </x:c>
    </x:row>
    <x:row r="217" ht="15.75" customHeight="1">
      <x:c r="A217" s="10" t="s">
        <x:v>645</x:v>
      </x:c>
      <x:c r="B217" s="10" t="s">
        <x:v>646</x:v>
      </x:c>
      <x:c r="C217" s="1" t="s">
        <x:v>18</x:v>
      </x:c>
      <x:c r="D217" s="1" t="s">
        <x:v>19</x:v>
      </x:c>
      <x:c r="E217" s="1" t="s">
        <x:v>647</x:v>
      </x:c>
      <x:c r="F217" s="1" t="s">
        <x:v>21</x:v>
      </x:c>
      <x:c r="G217" s="1" t="s">
        <x:v>648</x:v>
      </x:c>
      <x:c r="H217" s="1" t="s">
        <x:v>23</x:v>
      </x:c>
      <x:c r="I217" s="1">
        <x:v>5.0</x:v>
      </x:c>
      <x:c r="J217" s="1">
        <x:v>1.36</x:v>
      </x:c>
      <x:c r="K217" s="1" t="s">
        <x:v>595</x:v>
      </x:c>
      <x:c r="L217" s="1" t="s">
        <x:v>431</x:v>
      </x:c>
      <x:c r="M217" s="1">
        <x:v>6.8</x:v>
      </x:c>
      <x:c r="N217" s="1">
        <x:v>1.8</x:v>
      </x:c>
      <x:c r="O217" s="2">
        <x:f t="shared" si="2"/>
        <x:v>0.36</x:v>
      </x:c>
      <x:c r="P217" s="1" t="s">
        <x:v>26</x:v>
      </x:c>
      <x:c r="Q217" s="1" t="s">
        <x:v>187</x:v>
      </x:c>
      <x:c r="R217" s="1" t="s">
        <x:v>70</x:v>
      </x:c>
    </x:row>
    <x:row r="218" ht="15.75" customHeight="1">
      <x:c r="A218" s="10" t="s">
        <x:v>649</x:v>
      </x:c>
      <x:c r="B218" s="10" t="s">
        <x:v>646</x:v>
      </x:c>
      <x:c r="C218" s="1" t="s">
        <x:v>18</x:v>
      </x:c>
      <x:c r="D218" s="1" t="s">
        <x:v>19</x:v>
      </x:c>
      <x:c r="E218" s="1" t="s">
        <x:v>650</x:v>
      </x:c>
      <x:c r="F218" s="1" t="s">
        <x:v>21</x:v>
      </x:c>
      <x:c r="G218" s="1" t="s">
        <x:v>99</x:v>
      </x:c>
      <x:c r="H218" s="1" t="s">
        <x:v>23</x:v>
      </x:c>
      <x:c r="I218" s="1">
        <x:v>5.0</x:v>
      </x:c>
      <x:c r="J218" s="1">
        <x:v>1.47</x:v>
      </x:c>
      <x:c r="K218" s="1" t="s">
        <x:v>599</x:v>
      </x:c>
      <x:c r="L218" s="1" t="s">
        <x:v>35</x:v>
      </x:c>
      <x:c r="M218" s="1">
        <x:v>0.0</x:v>
      </x:c>
      <x:c r="N218" s="1">
        <x:v>-5.0</x:v>
      </x:c>
      <x:c r="O218" s="2">
        <x:f t="shared" si="2"/>
        <x:v>-1</x:v>
      </x:c>
      <x:c r="P218" s="1" t="s">
        <x:v>26</x:v>
      </x:c>
      <x:c r="Q218" s="1" t="s">
        <x:v>187</x:v>
      </x:c>
      <x:c r="R218" s="1" t="s">
        <x:v>70</x:v>
      </x:c>
    </x:row>
    <x:row r="219" ht="15.75" customHeight="1">
      <x:c r="A219" s="10" t="s">
        <x:v>651</x:v>
      </x:c>
      <x:c r="B219" s="10" t="s">
        <x:v>652</x:v>
      </x:c>
      <x:c r="C219" s="1" t="s">
        <x:v>18</x:v>
      </x:c>
      <x:c r="D219" s="1" t="s">
        <x:v>19</x:v>
      </x:c>
      <x:c r="E219" s="1" t="s">
        <x:v>653</x:v>
      </x:c>
      <x:c r="F219" s="1" t="s">
        <x:v>354</x:v>
      </x:c>
      <x:c r="G219" s="1" t="s">
        <x:v>654</x:v>
      </x:c>
      <x:c r="H219" s="1" t="s">
        <x:v>655</x:v>
      </x:c>
      <x:c r="I219" s="1">
        <x:v>10.0</x:v>
      </x:c>
      <x:c r="J219" s="1">
        <x:v>1.7</x:v>
      </x:c>
      <x:c r="K219" s="1" t="s">
        <x:v>595</x:v>
      </x:c>
      <x:c r="L219" s="10" t="s">
        <x:v>656</x:v>
      </x:c>
      <x:c r="M219" s="1">
        <x:v>17.0</x:v>
      </x:c>
      <x:c r="N219" s="1">
        <x:v>7.0</x:v>
      </x:c>
      <x:c r="O219" s="2">
        <x:f t="shared" si="2"/>
        <x:v>0.7</x:v>
      </x:c>
      <x:c r="P219" s="1" t="s">
        <x:v>26</x:v>
      </x:c>
      <x:c r="Q219" s="1" t="s">
        <x:v>187</x:v>
      </x:c>
      <x:c r="R219" s="1" t="s">
        <x:v>70</x:v>
      </x:c>
    </x:row>
    <x:row r="220" ht="15.75" customHeight="1">
      <x:c r="A220" s="10" t="s">
        <x:v>657</x:v>
      </x:c>
      <x:c r="B220" s="10" t="s">
        <x:v>658</x:v>
      </x:c>
      <x:c r="C220" s="1" t="s">
        <x:v>18</x:v>
      </x:c>
      <x:c r="D220" s="1" t="s">
        <x:v>19</x:v>
      </x:c>
      <x:c r="E220" s="1" t="s">
        <x:v>659</x:v>
      </x:c>
      <x:c r="F220" s="1" t="s">
        <x:v>354</x:v>
      </x:c>
      <x:c r="G220" s="1" t="s">
        <x:v>660</x:v>
      </x:c>
      <x:c r="H220" s="1" t="s">
        <x:v>436</x:v>
      </x:c>
      <x:c r="I220" s="1">
        <x:v>10.0</x:v>
      </x:c>
      <x:c r="J220" s="1">
        <x:v>1.5</x:v>
      </x:c>
      <x:c r="K220" s="1" t="s">
        <x:v>595</x:v>
      </x:c>
      <x:c r="L220" s="1" t="s">
        <x:v>64</x:v>
      </x:c>
      <x:c r="M220" s="1">
        <x:v>15.0</x:v>
      </x:c>
      <x:c r="N220" s="1">
        <x:v>5.0</x:v>
      </x:c>
      <x:c r="O220" s="2">
        <x:f t="shared" si="2"/>
        <x:v>0.5</x:v>
      </x:c>
      <x:c r="P220" s="1" t="s">
        <x:v>26</x:v>
      </x:c>
      <x:c r="Q220" s="1" t="s">
        <x:v>426</x:v>
      </x:c>
      <x:c r="R220" s="1" t="s">
        <x:v>70</x:v>
      </x:c>
    </x:row>
    <x:row r="221" ht="15.75" customHeight="1">
      <x:c r="A221" s="10" t="s">
        <x:v>661</x:v>
      </x:c>
      <x:c r="B221" s="10" t="s">
        <x:v>662</x:v>
      </x:c>
      <x:c r="C221" s="1" t="s">
        <x:v>18</x:v>
      </x:c>
      <x:c r="D221" s="1" t="s">
        <x:v>19</x:v>
      </x:c>
      <x:c r="E221" s="1" t="s">
        <x:v>663</x:v>
      </x:c>
      <x:c r="F221" s="1" t="s">
        <x:v>21</x:v>
      </x:c>
      <x:c r="G221" s="1" t="s">
        <x:v>664</x:v>
      </x:c>
      <x:c r="H221" s="1" t="s">
        <x:v>23</x:v>
      </x:c>
      <x:c r="I221" s="1">
        <x:v>10.0</x:v>
      </x:c>
      <x:c r="J221" s="1">
        <x:v>1.47</x:v>
      </x:c>
      <x:c r="K221" s="1" t="s">
        <x:v>595</x:v>
      </x:c>
      <x:c r="L221" s="10" t="s">
        <x:v>308</x:v>
      </x:c>
      <x:c r="M221" s="1">
        <x:v>14.7</x:v>
      </x:c>
      <x:c r="N221" s="1">
        <x:v>4.7</x:v>
      </x:c>
      <x:c r="O221" s="2">
        <x:f t="shared" si="2"/>
        <x:v>0.47</x:v>
      </x:c>
      <x:c r="P221" s="1" t="s">
        <x:v>26</x:v>
      </x:c>
      <x:c r="Q221" s="1" t="s">
        <x:v>187</x:v>
      </x:c>
      <x:c r="R221" s="1" t="s">
        <x:v>70</x:v>
      </x:c>
    </x:row>
    <x:row r="222" ht="15.75" customHeight="1">
      <x:c r="B222" s="10" t="s">
        <x:v>665</x:v>
      </x:c>
      <x:c r="C222" s="1" t="s">
        <x:v>18</x:v>
      </x:c>
      <x:c r="D222" s="1" t="s">
        <x:v>19</x:v>
      </x:c>
      <x:c r="E222" s="1" t="s">
        <x:v>666</x:v>
      </x:c>
      <x:c r="F222" s="1" t="s">
        <x:v>354</x:v>
      </x:c>
      <x:c r="G222" s="1" t="s">
        <x:v>667</x:v>
      </x:c>
      <x:c r="H222" s="1" t="s">
        <x:v>668</x:v>
      </x:c>
      <x:c r="I222" s="1">
        <x:v>10.0</x:v>
      </x:c>
      <x:c r="J222" s="1">
        <x:v>1.8</x:v>
      </x:c>
      <x:c r="K222" s="1" t="s">
        <x:v>595</x:v>
      </x:c>
      <x:c r="M222" s="1">
        <x:v>18.0</x:v>
      </x:c>
      <x:c r="N222" s="1">
        <x:v>8.0</x:v>
      </x:c>
      <x:c r="O222" s="1">
        <x:v>0.8</x:v>
      </x:c>
      <x:c r="P222" s="1" t="s">
        <x:v>26</x:v>
      </x:c>
      <x:c r="R222" s="1" t="s">
        <x:v>70</x:v>
      </x:c>
    </x:row>
    <x:row r="223" ht="15.75" customHeight="1">
      <x:c r="B223" s="10" t="s">
        <x:v>669</x:v>
      </x:c>
      <x:c r="C223" s="1" t="s">
        <x:v>18</x:v>
      </x:c>
      <x:c r="D223" s="1" t="s">
        <x:v>19</x:v>
      </x:c>
      <x:c r="E223" s="1" t="s">
        <x:v>670</x:v>
      </x:c>
      <x:c r="F223" s="1" t="s">
        <x:v>78</x:v>
      </x:c>
      <x:c r="G223" s="1" t="s">
        <x:v>381</x:v>
      </x:c>
      <x:c r="H223" s="1" t="s">
        <x:v>104</x:v>
      </x:c>
      <x:c r="I223" s="1">
        <x:v>10.0</x:v>
      </x:c>
      <x:c r="J223" s="1">
        <x:v>1.34</x:v>
      </x:c>
      <x:c r="K223" s="1" t="s">
        <x:v>595</x:v>
      </x:c>
      <x:c r="M223" s="1">
        <x:v>13.4</x:v>
      </x:c>
      <x:c r="N223" s="1">
        <x:v>3.4</x:v>
      </x:c>
      <x:c r="O223" s="1">
        <x:v>0.34</x:v>
      </x:c>
      <x:c r="P223" s="1" t="s">
        <x:v>26</x:v>
      </x:c>
      <x:c r="R223" s="1" t="s">
        <x:v>100</x:v>
      </x:c>
    </x:row>
    <x:row r="224" ht="15.75" customHeight="1">
      <x:c r="B224" s="10" t="s">
        <x:v>671</x:v>
      </x:c>
      <x:c r="C224" s="1" t="s">
        <x:v>18</x:v>
      </x:c>
      <x:c r="D224" s="1" t="s">
        <x:v>19</x:v>
      </x:c>
      <x:c r="E224" s="1" t="s">
        <x:v>672</x:v>
      </x:c>
      <x:c r="F224" s="1" t="s">
        <x:v>78</x:v>
      </x:c>
      <x:c r="G224" s="1" t="s">
        <x:v>153</x:v>
      </x:c>
      <x:c r="H224" s="1" t="s">
        <x:v>80</x:v>
      </x:c>
      <x:c r="I224" s="1">
        <x:v>10.0</x:v>
      </x:c>
      <x:c r="J224" s="1">
        <x:v>1.28</x:v>
      </x:c>
      <x:c r="K224" s="1" t="s">
        <x:v>595</x:v>
      </x:c>
      <x:c r="M224" s="1">
        <x:v>12.8</x:v>
      </x:c>
      <x:c r="N224" s="1">
        <x:v>2.8</x:v>
      </x:c>
      <x:c r="O224" s="1">
        <x:v>0.28</x:v>
      </x:c>
      <x:c r="P224" s="1" t="s">
        <x:v>26</x:v>
      </x:c>
      <x:c r="R224" s="1" t="s">
        <x:v>100</x:v>
      </x:c>
    </x:row>
    <x:row r="225" ht="15.75" customHeight="1">
      <x:c r="B225" s="10" t="s">
        <x:v>673</x:v>
      </x:c>
      <x:c r="C225" s="1" t="s">
        <x:v>18</x:v>
      </x:c>
      <x:c r="D225" s="1" t="s">
        <x:v>19</x:v>
      </x:c>
      <x:c r="E225" s="1" t="s">
        <x:v>674</x:v>
      </x:c>
      <x:c r="F225" s="1" t="s">
        <x:v>78</x:v>
      </x:c>
      <x:c r="G225" s="1" t="s">
        <x:v>381</x:v>
      </x:c>
      <x:c r="H225" s="1" t="s">
        <x:v>104</x:v>
      </x:c>
      <x:c r="I225" s="1">
        <x:v>10.0</x:v>
      </x:c>
      <x:c r="J225" s="1">
        <x:v>1.7</x:v>
      </x:c>
      <x:c r="K225" s="1" t="s">
        <x:v>599</x:v>
      </x:c>
      <x:c r="M225" s="1">
        <x:v>0.0</x:v>
      </x:c>
      <x:c r="N225" s="1">
        <x:v>-10.0</x:v>
      </x:c>
      <x:c r="O225" s="1">
        <x:v>-1.0</x:v>
      </x:c>
      <x:c r="P225" s="1" t="s">
        <x:v>26</x:v>
      </x:c>
      <x:c r="R225" s="1" t="s">
        <x:v>100</x:v>
      </x:c>
    </x:row>
    <x:row r="226" ht="15.75" customHeight="1">
      <x:c r="B226" s="10" t="s">
        <x:v>675</x:v>
      </x:c>
      <x:c r="C226" s="1" t="s">
        <x:v>18</x:v>
      </x:c>
      <x:c r="D226" s="1" t="s">
        <x:v>19</x:v>
      </x:c>
      <x:c r="E226" s="1" t="s">
        <x:v>676</x:v>
      </x:c>
      <x:c r="F226" s="1" t="s">
        <x:v>677</x:v>
      </x:c>
      <x:c r="G226" s="1" t="s">
        <x:v>447</x:v>
      </x:c>
      <x:c r="H226" s="1" t="s">
        <x:v>678</x:v>
      </x:c>
      <x:c r="I226" s="1">
        <x:v>10.0</x:v>
      </x:c>
      <x:c r="J226" s="1">
        <x:v>1.93</x:v>
      </x:c>
      <x:c r="K226" s="1" t="s">
        <x:v>595</x:v>
      </x:c>
      <x:c r="M226" s="1">
        <x:v>19.3</x:v>
      </x:c>
      <x:c r="N226" s="1">
        <x:v>9.3</x:v>
      </x:c>
      <x:c r="O226" s="1">
        <x:v>0.93</x:v>
      </x:c>
      <x:c r="P226" s="1" t="s">
        <x:v>26</x:v>
      </x:c>
      <x:c r="R226" s="1" t="s">
        <x:v>70</x:v>
      </x:c>
    </x:row>
    <x:row r="227" ht="15.75" customHeight="1">
      <x:c r="B227" s="10" t="s">
        <x:v>675</x:v>
      </x:c>
      <x:c r="C227" s="1" t="s">
        <x:v>18</x:v>
      </x:c>
      <x:c r="D227" s="1" t="s">
        <x:v>19</x:v>
      </x:c>
      <x:c r="E227" s="1" t="s">
        <x:v>676</x:v>
      </x:c>
      <x:c r="F227" s="1" t="s">
        <x:v>354</x:v>
      </x:c>
      <x:c r="G227" s="1" t="s">
        <x:v>679</x:v>
      </x:c>
      <x:c r="H227" s="1" t="s">
        <x:v>680</x:v>
      </x:c>
      <x:c r="I227" s="1">
        <x:v>10.0</x:v>
      </x:c>
      <x:c r="J227" s="1">
        <x:v>2.25</x:v>
      </x:c>
      <x:c r="K227" s="1" t="s">
        <x:v>599</x:v>
      </x:c>
      <x:c r="M227" s="1">
        <x:v>0.0</x:v>
      </x:c>
      <x:c r="N227" s="1">
        <x:v>-10.0</x:v>
      </x:c>
      <x:c r="O227" s="1">
        <x:v>-1.0</x:v>
      </x:c>
      <x:c r="P227" s="1" t="s">
        <x:v>26</x:v>
      </x:c>
      <x:c r="R227" s="1" t="s">
        <x:v>70</x:v>
      </x:c>
    </x:row>
    <x:row r="228" ht="15.75" customHeight="1">
      <x:c r="B228" s="10" t="s">
        <x:v>681</x:v>
      </x:c>
      <x:c r="C228" s="1" t="s">
        <x:v>18</x:v>
      </x:c>
      <x:c r="D228" s="1" t="s">
        <x:v>19</x:v>
      </x:c>
      <x:c r="E228" s="1" t="s">
        <x:v>682</x:v>
      </x:c>
      <x:c r="F228" s="1" t="s">
        <x:v>354</x:v>
      </x:c>
      <x:c r="G228" s="1" t="s">
        <x:v>683</x:v>
      </x:c>
      <x:c r="H228" s="1" t="s">
        <x:v>684</x:v>
      </x:c>
      <x:c r="I228" s="1">
        <x:v>10.0</x:v>
      </x:c>
      <x:c r="J228" s="1">
        <x:v>2.18</x:v>
      </x:c>
      <x:c r="K228" s="1" t="s">
        <x:v>595</x:v>
      </x:c>
      <x:c r="M228" s="1">
        <x:v>21.8</x:v>
      </x:c>
      <x:c r="N228" s="1">
        <x:v>11.8</x:v>
      </x:c>
      <x:c r="O228" s="1">
        <x:v>1.18</x:v>
      </x:c>
      <x:c r="P228" s="1" t="s">
        <x:v>26</x:v>
      </x:c>
      <x:c r="R228" s="1" t="s">
        <x:v>70</x:v>
      </x:c>
    </x:row>
    <x:row r="229" ht="15.75" customHeight="1">
      <x:c r="B229" s="10" t="s">
        <x:v>685</x:v>
      </x:c>
      <x:c r="C229" s="1" t="s">
        <x:v>18</x:v>
      </x:c>
      <x:c r="D229" s="1" t="s">
        <x:v>19</x:v>
      </x:c>
      <x:c r="E229" s="1" t="s">
        <x:v>666</x:v>
      </x:c>
      <x:c r="F229" s="1" t="s">
        <x:v>78</x:v>
      </x:c>
      <x:c r="G229" s="1" t="s">
        <x:v>79</x:v>
      </x:c>
      <x:c r="H229" s="1" t="s">
        <x:v>80</x:v>
      </x:c>
      <x:c r="I229" s="1">
        <x:v>10.0</x:v>
      </x:c>
      <x:c r="J229" s="1">
        <x:v>1.85</x:v>
      </x:c>
      <x:c r="K229" s="1" t="s">
        <x:v>599</x:v>
      </x:c>
      <x:c r="M229" s="1">
        <x:v>0.0</x:v>
      </x:c>
      <x:c r="N229" s="1">
        <x:v>-10.0</x:v>
      </x:c>
      <x:c r="O229" s="1">
        <x:v>-1.0</x:v>
      </x:c>
      <x:c r="P229" s="1" t="s">
        <x:v>26</x:v>
      </x:c>
      <x:c r="R229" s="1" t="s">
        <x:v>70</x:v>
      </x:c>
    </x:row>
    <x:row r="230" ht="15.75" customHeight="1">
      <x:c r="B230" s="10" t="s">
        <x:v>685</x:v>
      </x:c>
      <x:c r="C230" s="1" t="s">
        <x:v>18</x:v>
      </x:c>
      <x:c r="D230" s="1" t="s">
        <x:v>19</x:v>
      </x:c>
      <x:c r="E230" s="1" t="s">
        <x:v>666</x:v>
      </x:c>
      <x:c r="F230" s="1" t="s">
        <x:v>21</x:v>
      </x:c>
      <x:c r="G230" s="1" t="s">
        <x:v>686</x:v>
      </x:c>
      <x:c r="H230" s="1" t="s">
        <x:v>23</x:v>
      </x:c>
      <x:c r="I230" s="1">
        <x:v>10.0</x:v>
      </x:c>
      <x:c r="J230" s="1">
        <x:v>1.67</x:v>
      </x:c>
      <x:c r="K230" s="1" t="s">
        <x:v>595</x:v>
      </x:c>
      <x:c r="M230" s="1">
        <x:v>16.7</x:v>
      </x:c>
      <x:c r="N230" s="1">
        <x:v>6.7</x:v>
      </x:c>
      <x:c r="O230" s="1">
        <x:v>0.67</x:v>
      </x:c>
      <x:c r="P230" s="1" t="s">
        <x:v>26</x:v>
      </x:c>
      <x:c r="R230" s="1" t="s">
        <x:v>70</x:v>
      </x:c>
    </x:row>
    <x:row r="231" ht="15.75" customHeight="1">
      <x:c r="B231" s="10" t="s">
        <x:v>687</x:v>
      </x:c>
      <x:c r="C231" s="1" t="s">
        <x:v>18</x:v>
      </x:c>
      <x:c r="D231" s="1" t="s">
        <x:v>19</x:v>
      </x:c>
      <x:c r="E231" s="1" t="s">
        <x:v>688</x:v>
      </x:c>
      <x:c r="F231" s="1" t="s">
        <x:v>21</x:v>
      </x:c>
      <x:c r="G231" s="1" t="s">
        <x:v>336</x:v>
      </x:c>
      <x:c r="H231" s="1" t="s">
        <x:v>23</x:v>
      </x:c>
      <x:c r="I231" s="1">
        <x:v>10.0</x:v>
      </x:c>
      <x:c r="J231" s="1">
        <x:v>1.98</x:v>
      </x:c>
      <x:c r="K231" s="1" t="s">
        <x:v>595</x:v>
      </x:c>
      <x:c r="M231" s="1">
        <x:v>19.8</x:v>
      </x:c>
      <x:c r="N231" s="1">
        <x:v>9.8</x:v>
      </x:c>
      <x:c r="O231" s="1">
        <x:v>0.98</x:v>
      </x:c>
      <x:c r="P231" s="1" t="s">
        <x:v>61</x:v>
      </x:c>
      <x:c r="R231" s="1" t="s">
        <x:v>70</x:v>
      </x:c>
    </x:row>
    <x:row r="232" ht="15.75" customHeight="1">
      <x:c r="B232" s="10" t="s">
        <x:v>689</x:v>
      </x:c>
      <x:c r="C232" s="1" t="s">
        <x:v>18</x:v>
      </x:c>
      <x:c r="D232" s="1" t="s">
        <x:v>19</x:v>
      </x:c>
      <x:c r="E232" s="1" t="s">
        <x:v>690</x:v>
      </x:c>
      <x:c r="F232" s="1" t="s">
        <x:v>354</x:v>
      </x:c>
      <x:c r="G232" s="1" t="s">
        <x:v>691</x:v>
      </x:c>
      <x:c r="H232" s="1" t="s">
        <x:v>692</x:v>
      </x:c>
      <x:c r="I232" s="1">
        <x:v>10.0</x:v>
      </x:c>
      <x:c r="J232" s="1">
        <x:v>1.87</x:v>
      </x:c>
      <x:c r="K232" s="1" t="s">
        <x:v>595</x:v>
      </x:c>
      <x:c r="M232" s="1">
        <x:v>18.7</x:v>
      </x:c>
      <x:c r="N232" s="1">
        <x:v>8.7</x:v>
      </x:c>
      <x:c r="O232" s="1">
        <x:v>0.87</x:v>
      </x:c>
      <x:c r="P232" s="1" t="s">
        <x:v>26</x:v>
      </x:c>
      <x:c r="Q232" s="1" t="s">
        <x:v>426</x:v>
      </x:c>
      <x:c r="R232" s="1" t="s">
        <x:v>70</x:v>
      </x:c>
    </x:row>
    <x:row r="233" ht="15.75" customHeight="1">
      <x:c r="A233" s="10" t="s">
        <x:v>693</x:v>
      </x:c>
      <x:c r="B233" s="10" t="s">
        <x:v>694</x:v>
      </x:c>
      <x:c r="C233" s="1" t="s">
        <x:v>18</x:v>
      </x:c>
      <x:c r="D233" s="1" t="s">
        <x:v>19</x:v>
      </x:c>
      <x:c r="E233" s="1" t="s">
        <x:v>695</x:v>
      </x:c>
      <x:c r="F233" s="1" t="s">
        <x:v>21</x:v>
      </x:c>
      <x:c r="G233" s="1" t="s">
        <x:v>34</x:v>
      </x:c>
      <x:c r="H233" s="1" t="s">
        <x:v>34</x:v>
      </x:c>
      <x:c r="I233" s="1">
        <x:v>5.0</x:v>
      </x:c>
      <x:c r="J233" s="1">
        <x:v>3.0</x:v>
      </x:c>
      <x:c r="K233" s="1" t="s">
        <x:v>595</x:v>
      </x:c>
      <x:c r="L233" s="10" t="s">
        <x:v>44</x:v>
      </x:c>
      <x:c r="M233" s="1">
        <x:v>15.0</x:v>
      </x:c>
      <x:c r="N233" s="1">
        <x:v>10.0</x:v>
      </x:c>
      <x:c r="O233" s="1">
        <x:v>2.0</x:v>
      </x:c>
      <x:c r="P233" s="1" t="s">
        <x:v>26</x:v>
      </x:c>
      <x:c r="R233" s="1" t="s">
        <x:v>118</x:v>
      </x:c>
    </x:row>
    <x:row r="234" ht="15.75" customHeight="1">
      <x:c r="A234" s="10" t="s">
        <x:v>696</x:v>
      </x:c>
      <x:c r="B234" s="10" t="s">
        <x:v>697</x:v>
      </x:c>
      <x:c r="C234" s="1" t="s">
        <x:v>18</x:v>
      </x:c>
      <x:c r="D234" s="1" t="s">
        <x:v>19</x:v>
      </x:c>
      <x:c r="E234" s="1" t="s">
        <x:v>698</x:v>
      </x:c>
      <x:c r="F234" s="1" t="s">
        <x:v>21</x:v>
      </x:c>
      <x:c r="G234" s="1" t="s">
        <x:v>63</x:v>
      </x:c>
      <x:c r="H234" s="1" t="s">
        <x:v>23</x:v>
      </x:c>
      <x:c r="I234" s="1">
        <x:v>5.0</x:v>
      </x:c>
      <x:c r="J234" s="1">
        <x:v>2.27</x:v>
      </x:c>
      <x:c r="K234" s="1" t="s">
        <x:v>595</x:v>
      </x:c>
      <x:c r="L234" s="10" t="s">
        <x:v>699</x:v>
      </x:c>
      <x:c r="M234" s="1">
        <x:v>11.35</x:v>
      </x:c>
      <x:c r="N234" s="1">
        <x:v>6.35</x:v>
      </x:c>
      <x:c r="O234" s="1">
        <x:v>1.27</x:v>
      </x:c>
      <x:c r="P234" s="1" t="s">
        <x:v>26</x:v>
      </x:c>
      <x:c r="Q234" s="1" t="s">
        <x:v>426</x:v>
      </x:c>
      <x:c r="R234" s="1" t="s">
        <x:v>118</x:v>
      </x:c>
    </x:row>
    <x:row r="235" ht="15.75" customHeight="1">
      <x:c r="A235" s="10" t="s">
        <x:v>700</x:v>
      </x:c>
      <x:c r="B235" s="10" t="s">
        <x:v>697</x:v>
      </x:c>
      <x:c r="C235" s="1" t="s">
        <x:v>18</x:v>
      </x:c>
      <x:c r="D235" s="1" t="s">
        <x:v>19</x:v>
      </x:c>
      <x:c r="E235" s="1" t="s">
        <x:v>701</x:v>
      </x:c>
      <x:c r="F235" s="1" t="s">
        <x:v>186</x:v>
      </x:c>
      <x:c r="G235" s="1" t="s">
        <x:v>702</x:v>
      </x:c>
      <x:c r="H235" s="1" t="s">
        <x:v>23</x:v>
      </x:c>
      <x:c r="I235" s="1">
        <x:v>5.0</x:v>
      </x:c>
      <x:c r="J235" s="1">
        <x:v>1.95</x:v>
      </x:c>
      <x:c r="K235" s="1" t="s">
        <x:v>595</x:v>
      </x:c>
      <x:c r="L235" s="10" t="s">
        <x:v>128</x:v>
      </x:c>
      <x:c r="M235" s="1">
        <x:v>9.75</x:v>
      </x:c>
      <x:c r="N235" s="1">
        <x:v>4.75</x:v>
      </x:c>
      <x:c r="O235" s="1">
        <x:v>0.95</x:v>
      </x:c>
      <x:c r="P235" s="1" t="s">
        <x:v>61</x:v>
      </x:c>
      <x:c r="R235" s="1" t="s">
        <x:v>118</x:v>
      </x:c>
    </x:row>
    <x:row r="236" ht="15.75" customHeight="1">
      <x:c r="A236" s="10" t="s">
        <x:v>703</x:v>
      </x:c>
      <x:c r="B236" s="10" t="s">
        <x:v>704</x:v>
      </x:c>
      <x:c r="C236" s="1" t="s">
        <x:v>18</x:v>
      </x:c>
      <x:c r="D236" s="1" t="s">
        <x:v>19</x:v>
      </x:c>
      <x:c r="E236" s="1" t="s">
        <x:v>705</x:v>
      </x:c>
      <x:c r="F236" s="1" t="s">
        <x:v>186</x:v>
      </x:c>
      <x:c r="G236" s="1" t="s">
        <x:v>706</x:v>
      </x:c>
      <x:c r="H236" s="1" t="s">
        <x:v>23</x:v>
      </x:c>
      <x:c r="I236" s="1">
        <x:v>5.0</x:v>
      </x:c>
      <x:c r="J236" s="1">
        <x:v>1.72</x:v>
      </x:c>
      <x:c r="K236" s="1" t="s">
        <x:v>595</x:v>
      </x:c>
      <x:c r="L236" s="10" t="s">
        <x:v>38</x:v>
      </x:c>
      <x:c r="M236" s="1">
        <x:v>8.6</x:v>
      </x:c>
      <x:c r="N236" s="1">
        <x:v>3.6</x:v>
      </x:c>
      <x:c r="O236" s="1">
        <x:v>0.72</x:v>
      </x:c>
      <x:c r="P236" s="1" t="s">
        <x:v>61</x:v>
      </x:c>
      <x:c r="R236" s="1" t="s">
        <x:v>118</x:v>
      </x:c>
    </x:row>
    <x:row r="237" ht="15.75" customHeight="1">
      <x:c r="A237" s="10" t="s">
        <x:v>707</x:v>
      </x:c>
      <x:c r="B237" s="10" t="s">
        <x:v>704</x:v>
      </x:c>
      <x:c r="C237" s="1" t="s">
        <x:v>18</x:v>
      </x:c>
      <x:c r="D237" s="1" t="s">
        <x:v>19</x:v>
      </x:c>
      <x:c r="E237" s="1" t="s">
        <x:v>708</x:v>
      </x:c>
      <x:c r="F237" s="1" t="s">
        <x:v>78</x:v>
      </x:c>
      <x:c r="G237" s="1" t="s">
        <x:v>79</x:v>
      </x:c>
      <x:c r="H237" s="1" t="s">
        <x:v>80</x:v>
      </x:c>
      <x:c r="I237" s="1">
        <x:v>5.0</x:v>
      </x:c>
      <x:c r="J237" s="1">
        <x:v>1.28</x:v>
      </x:c>
      <x:c r="K237" s="1" t="s">
        <x:v>595</x:v>
      </x:c>
      <x:c r="L237" s="1" t="s">
        <x:v>29</x:v>
      </x:c>
      <x:c r="M237" s="1">
        <x:v>6.4</x:v>
      </x:c>
      <x:c r="N237" s="1">
        <x:v>1.4</x:v>
      </x:c>
      <x:c r="O237" s="1">
        <x:v>0.28</x:v>
      </x:c>
      <x:c r="P237" s="1" t="s">
        <x:v>26</x:v>
      </x:c>
      <x:c r="R237" s="1" t="s">
        <x:v>118</x:v>
      </x:c>
    </x:row>
    <x:row r="238" ht="15.75" customHeight="1">
      <x:c r="A238" s="10" t="s">
        <x:v>709</x:v>
      </x:c>
      <x:c r="B238" s="10" t="s">
        <x:v>710</x:v>
      </x:c>
      <x:c r="C238" s="1" t="s">
        <x:v>18</x:v>
      </x:c>
      <x:c r="D238" s="1" t="s">
        <x:v>19</x:v>
      </x:c>
      <x:c r="E238" s="1" t="s">
        <x:v>708</x:v>
      </x:c>
      <x:c r="F238" s="1" t="s">
        <x:v>21</x:v>
      </x:c>
      <x:c r="G238" s="1" t="s">
        <x:v>711</x:v>
      </x:c>
      <x:c r="H238" s="1" t="s">
        <x:v>23</x:v>
      </x:c>
      <x:c r="I238" s="1">
        <x:v>5.0</x:v>
      </x:c>
      <x:c r="J238" s="1">
        <x:v>1.62</x:v>
      </x:c>
      <x:c r="K238" s="1" t="s">
        <x:v>595</x:v>
      </x:c>
      <x:c r="L238" s="1" t="s">
        <x:v>29</x:v>
      </x:c>
      <x:c r="M238" s="1">
        <x:v>8.1</x:v>
      </x:c>
      <x:c r="N238" s="1">
        <x:v>3.1</x:v>
      </x:c>
      <x:c r="O238" s="1">
        <x:v>0.62</x:v>
      </x:c>
      <x:c r="P238" s="1" t="s">
        <x:v>26</x:v>
      </x:c>
      <x:c r="R238" s="1" t="s">
        <x:v>118</x:v>
      </x:c>
    </x:row>
    <x:row r="239" ht="15.75" customHeight="1">
      <x:c r="A239" s="10" t="s">
        <x:v>712</x:v>
      </x:c>
      <x:c r="B239" s="10" t="s">
        <x:v>713</x:v>
      </x:c>
      <x:c r="C239" s="1" t="s">
        <x:v>18</x:v>
      </x:c>
      <x:c r="D239" s="1" t="s">
        <x:v>19</x:v>
      </x:c>
      <x:c r="E239" s="1" t="s">
        <x:v>714</x:v>
      </x:c>
      <x:c r="F239" s="1" t="s">
        <x:v>186</x:v>
      </x:c>
      <x:c r="G239" s="1" t="s">
        <x:v>715</x:v>
      </x:c>
      <x:c r="H239" s="1" t="s">
        <x:v>23</x:v>
      </x:c>
      <x:c r="I239" s="1">
        <x:v>5.0</x:v>
      </x:c>
      <x:c r="J239" s="1">
        <x:v>1.7</x:v>
      </x:c>
      <x:c r="K239" s="1" t="s">
        <x:v>595</x:v>
      </x:c>
      <x:c r="L239" s="1" t="s">
        <x:v>64</x:v>
      </x:c>
      <x:c r="M239" s="1">
        <x:v>8.5</x:v>
      </x:c>
      <x:c r="N239" s="1">
        <x:v>3.5</x:v>
      </x:c>
      <x:c r="O239" s="1">
        <x:v>0.7</x:v>
      </x:c>
      <x:c r="P239" s="1" t="s">
        <x:v>61</x:v>
      </x:c>
      <x:c r="R239" s="1" t="s">
        <x:v>118</x:v>
      </x:c>
    </x:row>
    <x:row r="240" ht="15.75" customHeight="1">
      <x:c r="A240" s="10" t="s">
        <x:v>716</x:v>
      </x:c>
      <x:c r="B240" s="10" t="s">
        <x:v>717</x:v>
      </x:c>
      <x:c r="C240" s="1" t="s">
        <x:v>18</x:v>
      </x:c>
      <x:c r="D240" s="1" t="s">
        <x:v>19</x:v>
      </x:c>
      <x:c r="E240" s="1" t="s">
        <x:v>718</x:v>
      </x:c>
      <x:c r="F240" s="1" t="s">
        <x:v>78</x:v>
      </x:c>
      <x:c r="G240" s="1" t="s">
        <x:v>103</x:v>
      </x:c>
      <x:c r="H240" s="1" t="s">
        <x:v>104</x:v>
      </x:c>
      <x:c r="I240" s="1">
        <x:v>10.0</x:v>
      </x:c>
      <x:c r="J240" s="1">
        <x:v>2.22</x:v>
      </x:c>
      <x:c r="K240" s="1" t="s">
        <x:v>599</x:v>
      </x:c>
      <x:c r="L240" s="10" t="s">
        <x:v>128</x:v>
      </x:c>
      <x:c r="M240" s="1">
        <x:v>0.0</x:v>
      </x:c>
      <x:c r="N240" s="1">
        <x:v>-10.0</x:v>
      </x:c>
      <x:c r="O240" s="1">
        <x:v>-1.0</x:v>
      </x:c>
      <x:c r="P240" s="1" t="s">
        <x:v>26</x:v>
      </x:c>
      <x:c r="R240" s="1" t="s">
        <x:v>118</x:v>
      </x:c>
    </x:row>
    <x:row r="241" ht="15.75" customHeight="1">
      <x:c r="A241" s="10" t="s">
        <x:v>719</x:v>
      </x:c>
      <x:c r="B241" s="10" t="s">
        <x:v>720</x:v>
      </x:c>
      <x:c r="C241" s="1" t="s">
        <x:v>18</x:v>
      </x:c>
      <x:c r="D241" s="1" t="s">
        <x:v>19</x:v>
      </x:c>
      <x:c r="E241" s="1" t="s">
        <x:v>721</x:v>
      </x:c>
      <x:c r="F241" s="1" t="s">
        <x:v>78</x:v>
      </x:c>
      <x:c r="G241" s="1" t="s">
        <x:v>318</x:v>
      </x:c>
      <x:c r="H241" s="1" t="s">
        <x:v>104</x:v>
      </x:c>
      <x:c r="I241" s="1">
        <x:v>10.0</x:v>
      </x:c>
      <x:c r="J241" s="1">
        <x:v>1.65</x:v>
      </x:c>
      <x:c r="K241" s="1" t="s">
        <x:v>595</x:v>
      </x:c>
      <x:c r="L241" s="10" t="s">
        <x:v>722</x:v>
      </x:c>
      <x:c r="M241" s="1">
        <x:v>16.5</x:v>
      </x:c>
      <x:c r="N241" s="1">
        <x:v>6.5</x:v>
      </x:c>
      <x:c r="O241" s="1">
        <x:v>0.65</x:v>
      </x:c>
      <x:c r="P241" s="1" t="s">
        <x:v>26</x:v>
      </x:c>
      <x:c r="R241" s="1" t="s">
        <x:v>118</x:v>
      </x:c>
    </x:row>
    <x:row r="242" ht="15.75" customHeight="1">
      <x:c r="A242" s="10" t="s">
        <x:v>723</x:v>
      </x:c>
      <x:c r="B242" s="10" t="s">
        <x:v>724</x:v>
      </x:c>
      <x:c r="C242" s="1" t="s">
        <x:v>18</x:v>
      </x:c>
      <x:c r="D242" s="1" t="s">
        <x:v>19</x:v>
      </x:c>
      <x:c r="E242" s="1" t="s">
        <x:v>725</x:v>
      </x:c>
      <x:c r="F242" s="1" t="s">
        <x:v>186</x:v>
      </x:c>
      <x:c r="G242" s="1" t="s">
        <x:v>451</x:v>
      </x:c>
      <x:c r="H242" s="1" t="s">
        <x:v>23</x:v>
      </x:c>
      <x:c r="I242" s="1">
        <x:v>20.0</x:v>
      </x:c>
      <x:c r="J242" s="1">
        <x:v>3.15</x:v>
      </x:c>
      <x:c r="K242" s="1" t="s">
        <x:v>595</x:v>
      </x:c>
      <x:c r="L242" s="10" t="s">
        <x:v>146</x:v>
      </x:c>
      <x:c r="M242" s="1">
        <x:v>63.0</x:v>
      </x:c>
      <x:c r="N242" s="1">
        <x:v>43.0</x:v>
      </x:c>
      <x:c r="O242" s="1">
        <x:v>2.15</x:v>
      </x:c>
      <x:c r="P242" s="1" t="s">
        <x:v>61</x:v>
      </x:c>
      <x:c r="R242" s="1" t="s">
        <x:v>118</x:v>
      </x:c>
    </x:row>
    <x:row r="243" ht="15.75" customHeight="1">
      <x:c r="A243" s="10" t="s">
        <x:v>726</x:v>
      </x:c>
      <x:c r="B243" s="10" t="s">
        <x:v>727</x:v>
      </x:c>
      <x:c r="C243" s="1" t="s">
        <x:v>18</x:v>
      </x:c>
      <x:c r="D243" s="1" t="s">
        <x:v>19</x:v>
      </x:c>
      <x:c r="E243" s="1" t="s">
        <x:v>728</x:v>
      </x:c>
      <x:c r="F243" s="1" t="s">
        <x:v>78</x:v>
      </x:c>
      <x:c r="G243" s="1" t="s">
        <x:v>729</x:v>
      </x:c>
      <x:c r="H243" s="1" t="s">
        <x:v>104</x:v>
      </x:c>
      <x:c r="I243" s="1">
        <x:v>10.0</x:v>
      </x:c>
      <x:c r="J243" s="1">
        <x:v>1.29</x:v>
      </x:c>
      <x:c r="K243" s="1" t="s">
        <x:v>599</x:v>
      </x:c>
      <x:c r="L243" s="10" t="s">
        <x:v>146</x:v>
      </x:c>
      <x:c r="M243" s="1">
        <x:v>0.0</x:v>
      </x:c>
      <x:c r="N243" s="1">
        <x:v>-10.0</x:v>
      </x:c>
      <x:c r="O243" s="1">
        <x:v>-1.0</x:v>
      </x:c>
      <x:c r="P243" s="1" t="s">
        <x:v>26</x:v>
      </x:c>
      <x:c r="R243" s="1" t="s">
        <x:v>118</x:v>
      </x:c>
    </x:row>
    <x:row r="244" ht="15.75" customHeight="1">
      <x:c r="A244" s="10" t="s">
        <x:v>730</x:v>
      </x:c>
      <x:c r="B244" s="10" t="s">
        <x:v>727</x:v>
      </x:c>
      <x:c r="C244" s="1" t="s">
        <x:v>18</x:v>
      </x:c>
      <x:c r="D244" s="1" t="s">
        <x:v>19</x:v>
      </x:c>
      <x:c r="E244" s="1" t="s">
        <x:v>731</x:v>
      </x:c>
      <x:c r="F244" s="1" t="s">
        <x:v>78</x:v>
      </x:c>
      <x:c r="G244" s="1" t="s">
        <x:v>153</x:v>
      </x:c>
      <x:c r="H244" s="1" t="s">
        <x:v>80</x:v>
      </x:c>
      <x:c r="I244" s="1">
        <x:v>5.0</x:v>
      </x:c>
      <x:c r="J244" s="1">
        <x:v>2.02</x:v>
      </x:c>
      <x:c r="K244" s="1" t="s">
        <x:v>599</x:v>
      </x:c>
      <x:c r="L244" s="1" t="s">
        <x:v>32</x:v>
      </x:c>
      <x:c r="M244" s="1">
        <x:v>0.0</x:v>
      </x:c>
      <x:c r="N244" s="1">
        <x:v>-5.0</x:v>
      </x:c>
      <x:c r="O244" s="1">
        <x:v>-1.0</x:v>
      </x:c>
      <x:c r="P244" s="1" t="s">
        <x:v>26</x:v>
      </x:c>
      <x:c r="R244" s="1" t="s">
        <x:v>118</x:v>
      </x:c>
    </x:row>
    <x:row r="245" ht="15.75" customHeight="1">
      <x:c r="A245" s="10" t="s">
        <x:v>732</x:v>
      </x:c>
      <x:c r="B245" s="10" t="s">
        <x:v>733</x:v>
      </x:c>
      <x:c r="C245" s="1" t="s">
        <x:v>18</x:v>
      </x:c>
      <x:c r="D245" s="1" t="s">
        <x:v>19</x:v>
      </x:c>
      <x:c r="E245" s="1" t="s">
        <x:v>731</x:v>
      </x:c>
      <x:c r="F245" s="1" t="s">
        <x:v>21</x:v>
      </x:c>
      <x:c r="G245" s="1" t="s">
        <x:v>734</x:v>
      </x:c>
      <x:c r="H245" s="1" t="s">
        <x:v>23</x:v>
      </x:c>
      <x:c r="I245" s="1">
        <x:v>5.0</x:v>
      </x:c>
      <x:c r="J245" s="1">
        <x:v>1.24</x:v>
      </x:c>
      <x:c r="K245" s="1" t="s">
        <x:v>595</x:v>
      </x:c>
      <x:c r="L245" s="1" t="s">
        <x:v>32</x:v>
      </x:c>
      <x:c r="M245" s="1">
        <x:v>6.2</x:v>
      </x:c>
      <x:c r="N245" s="1">
        <x:v>1.2</x:v>
      </x:c>
      <x:c r="O245" s="1">
        <x:v>0.24</x:v>
      </x:c>
      <x:c r="P245" s="1" t="s">
        <x:v>26</x:v>
      </x:c>
      <x:c r="R245" s="1" t="s">
        <x:v>118</x:v>
      </x:c>
    </x:row>
    <x:row r="246" ht="15.75" customHeight="1">
      <x:c r="A246" s="10" t="s">
        <x:v>735</x:v>
      </x:c>
      <x:c r="B246" s="10" t="s">
        <x:v>733</x:v>
      </x:c>
      <x:c r="C246" s="1" t="s">
        <x:v>18</x:v>
      </x:c>
      <x:c r="D246" s="1" t="s">
        <x:v>19</x:v>
      </x:c>
      <x:c r="E246" s="1" t="s">
        <x:v>728</x:v>
      </x:c>
      <x:c r="F246" s="1" t="s">
        <x:v>21</x:v>
      </x:c>
      <x:c r="G246" s="1" t="s">
        <x:v>286</x:v>
      </x:c>
      <x:c r="H246" s="1" t="s">
        <x:v>23</x:v>
      </x:c>
      <x:c r="I246" s="1">
        <x:v>10.0</x:v>
      </x:c>
      <x:c r="J246" s="1">
        <x:v>1.4</x:v>
      </x:c>
      <x:c r="K246" s="1" t="s">
        <x:v>595</x:v>
      </x:c>
      <x:c r="L246" s="10" t="s">
        <x:v>146</x:v>
      </x:c>
      <x:c r="M246" s="1">
        <x:v>14.0</x:v>
      </x:c>
      <x:c r="N246" s="1">
        <x:v>4.0</x:v>
      </x:c>
      <x:c r="O246" s="1">
        <x:v>0.4</x:v>
      </x:c>
      <x:c r="P246" s="1" t="s">
        <x:v>26</x:v>
      </x:c>
      <x:c r="R246" s="1" t="s">
        <x:v>118</x:v>
      </x:c>
    </x:row>
    <x:row r="247" ht="15.75" customHeight="1">
      <x:c r="A247" s="10" t="s">
        <x:v>736</x:v>
      </x:c>
      <x:c r="B247" s="10" t="s">
        <x:v>737</x:v>
      </x:c>
      <x:c r="C247" s="1" t="s">
        <x:v>18</x:v>
      </x:c>
      <x:c r="D247" s="1" t="s">
        <x:v>19</x:v>
      </x:c>
      <x:c r="E247" s="1" t="s">
        <x:v>738</x:v>
      </x:c>
      <x:c r="F247" s="1" t="s">
        <x:v>21</x:v>
      </x:c>
      <x:c r="G247" s="1" t="s">
        <x:v>34</x:v>
      </x:c>
      <x:c r="H247" s="1" t="s">
        <x:v>34</x:v>
      </x:c>
      <x:c r="I247" s="1">
        <x:v>5.0</x:v>
      </x:c>
      <x:c r="J247" s="1">
        <x:v>3.0</x:v>
      </x:c>
      <x:c r="K247" s="1" t="s">
        <x:v>595</x:v>
      </x:c>
      <x:c r="L247" s="10" t="s">
        <x:v>452</x:v>
      </x:c>
      <x:c r="M247" s="1">
        <x:v>15.0</x:v>
      </x:c>
      <x:c r="N247" s="1">
        <x:v>10.0</x:v>
      </x:c>
      <x:c r="O247" s="1">
        <x:v>2.0</x:v>
      </x:c>
      <x:c r="P247" s="1" t="s">
        <x:v>26</x:v>
      </x:c>
      <x:c r="R247" s="1" t="s">
        <x:v>118</x:v>
      </x:c>
    </x:row>
    <x:row r="248" ht="15.75" customHeight="1">
      <x:c r="A248" s="10" t="s">
        <x:v>739</x:v>
      </x:c>
      <x:c r="B248" s="10" t="s">
        <x:v>740</x:v>
      </x:c>
      <x:c r="C248" s="1" t="s">
        <x:v>18</x:v>
      </x:c>
      <x:c r="D248" s="1" t="s">
        <x:v>19</x:v>
      </x:c>
      <x:c r="E248" s="1" t="s">
        <x:v>741</x:v>
      </x:c>
      <x:c r="F248" s="1" t="s">
        <x:v>21</x:v>
      </x:c>
      <x:c r="G248" s="1" t="s">
        <x:v>34</x:v>
      </x:c>
      <x:c r="H248" s="1" t="s">
        <x:v>34</x:v>
      </x:c>
      <x:c r="I248" s="1">
        <x:v>5.0</x:v>
      </x:c>
      <x:c r="J248" s="1">
        <x:v>1.57</x:v>
      </x:c>
      <x:c r="K248" s="1" t="s">
        <x:v>599</x:v>
      </x:c>
      <x:c r="L248" s="1" t="s">
        <x:v>29</x:v>
      </x:c>
      <x:c r="M248" s="1">
        <x:v>0.0</x:v>
      </x:c>
      <x:c r="N248" s="1">
        <x:v>-5.0</x:v>
      </x:c>
      <x:c r="O248" s="1">
        <x:v>-1.0</x:v>
      </x:c>
      <x:c r="P248" s="1" t="s">
        <x:v>26</x:v>
      </x:c>
      <x:c r="R248" s="1" t="s">
        <x:v>118</x:v>
      </x:c>
    </x:row>
    <x:row r="249" ht="15.75" customHeight="1">
      <x:c r="A249" s="1">
        <x:v>2.1003495902E10</x:v>
      </x:c>
      <x:c r="B249" s="34">
        <x:v>46270.63888888889</x:v>
      </x:c>
      <x:c r="C249" s="1" t="s">
        <x:v>18</x:v>
      </x:c>
      <x:c r="D249" s="1" t="s">
        <x:v>19</x:v>
      </x:c>
      <x:c r="E249" s="1" t="s">
        <x:v>742</x:v>
      </x:c>
      <x:c r="F249" s="1" t="s">
        <x:v>354</x:v>
      </x:c>
      <x:c r="G249" s="1" t="s">
        <x:v>409</x:v>
      </x:c>
      <x:c r="H249" s="1" t="s">
        <x:v>393</x:v>
      </x:c>
      <x:c r="I249" s="35">
        <x:v>10.0</x:v>
      </x:c>
      <x:c r="J249" s="36">
        <x:v>1.6</x:v>
      </x:c>
      <x:c r="K249" s="1" t="s">
        <x:v>595</x:v>
      </x:c>
      <x:c r="L249" s="1" t="s">
        <x:v>262</x:v>
      </x:c>
      <x:c r="M249" s="35">
        <x:v>16.0</x:v>
      </x:c>
      <x:c r="N249" s="35">
        <x:v>6.0</x:v>
      </x:c>
      <x:c r="O249" s="37">
        <x:v>0.6</x:v>
      </x:c>
      <x:c r="P249" s="1" t="s">
        <x:v>26</x:v>
      </x:c>
      <x:c r="Q249" s="1" t="s">
        <x:v>743</x:v>
      </x:c>
      <x:c r="R249" s="1" t="s">
        <x:v>70</x:v>
      </x:c>
    </x:row>
    <x:row r="250" ht="15.75" customHeight="1">
      <x:c r="A250" s="1">
        <x:v>2.1003490922E10</x:v>
      </x:c>
      <x:c r="B250" s="34">
        <x:v>46270.63888888889</x:v>
      </x:c>
      <x:c r="C250" s="1" t="s">
        <x:v>18</x:v>
      </x:c>
      <x:c r="D250" s="1" t="s">
        <x:v>19</x:v>
      </x:c>
      <x:c r="E250" s="1" t="s">
        <x:v>742</x:v>
      </x:c>
      <x:c r="F250" s="1" t="s">
        <x:v>234</x:v>
      </x:c>
      <x:c r="G250" s="1" t="s">
        <x:v>61</x:v>
      </x:c>
      <x:c r="H250" s="1" t="s">
        <x:v>350</x:v>
      </x:c>
      <x:c r="I250" s="35">
        <x:v>10.0</x:v>
      </x:c>
      <x:c r="J250" s="36">
        <x:v>1.93</x:v>
      </x:c>
      <x:c r="K250" s="1" t="s">
        <x:v>599</x:v>
      </x:c>
      <x:c r="L250" s="1" t="s">
        <x:v>262</x:v>
      </x:c>
      <x:c r="M250" s="35">
        <x:v>0.0</x:v>
      </x:c>
      <x:c r="N250" s="35">
        <x:v>-10.0</x:v>
      </x:c>
      <x:c r="O250" s="37">
        <x:v>-1.0</x:v>
      </x:c>
      <x:c r="P250" s="1" t="s">
        <x:v>26</x:v>
      </x:c>
      <x:c r="R250" s="1" t="s">
        <x:v>70</x:v>
      </x:c>
    </x:row>
    <x:row r="251" ht="15.75" customHeight="1">
      <x:c r="A251" s="1">
        <x:v>2.1003440742E10</x:v>
      </x:c>
      <x:c r="B251" s="34">
        <x:v>46270.63611111111</x:v>
      </x:c>
      <x:c r="C251" s="1" t="s">
        <x:v>18</x:v>
      </x:c>
      <x:c r="D251" s="1" t="s">
        <x:v>19</x:v>
      </x:c>
      <x:c r="E251" s="1" t="s">
        <x:v>744</x:v>
      </x:c>
      <x:c r="F251" s="1" t="s">
        <x:v>234</x:v>
      </x:c>
      <x:c r="G251" s="1" t="s">
        <x:v>26</x:v>
      </x:c>
      <x:c r="H251" s="1" t="s">
        <x:v>235</x:v>
      </x:c>
      <x:c r="I251" s="35">
        <x:v>10.0</x:v>
      </x:c>
      <x:c r="J251" s="36">
        <x:v>2.2</x:v>
      </x:c>
      <x:c r="K251" s="1" t="s">
        <x:v>599</x:v>
      </x:c>
      <x:c r="L251" s="10" t="s">
        <x:v>146</x:v>
      </x:c>
      <x:c r="M251" s="35">
        <x:v>0.0</x:v>
      </x:c>
      <x:c r="N251" s="35">
        <x:v>-10.0</x:v>
      </x:c>
      <x:c r="O251" s="37">
        <x:v>-1.0</x:v>
      </x:c>
      <x:c r="P251" s="1" t="s">
        <x:v>26</x:v>
      </x:c>
      <x:c r="R251" s="1" t="s">
        <x:v>70</x:v>
      </x:c>
    </x:row>
    <x:row r="252" ht="15.75" customHeight="1">
      <x:c r="A252" s="1">
        <x:v>2.1003400182E10</x:v>
      </x:c>
      <x:c r="B252" s="34">
        <x:v>46270.63402777778</x:v>
      </x:c>
      <x:c r="C252" s="1" t="s">
        <x:v>18</x:v>
      </x:c>
      <x:c r="D252" s="1" t="s">
        <x:v>19</x:v>
      </x:c>
      <x:c r="E252" s="1" t="s">
        <x:v>744</x:v>
      </x:c>
      <x:c r="F252" s="1" t="s">
        <x:v>78</x:v>
      </x:c>
      <x:c r="G252" s="1" t="s">
        <x:v>153</x:v>
      </x:c>
      <x:c r="H252" s="1" t="s">
        <x:v>80</x:v>
      </x:c>
      <x:c r="I252" s="35">
        <x:v>10.0</x:v>
      </x:c>
      <x:c r="J252" s="36">
        <x:v>1.44</x:v>
      </x:c>
      <x:c r="K252" s="1" t="s">
        <x:v>599</x:v>
      </x:c>
      <x:c r="L252" s="10" t="s">
        <x:v>146</x:v>
      </x:c>
      <x:c r="M252" s="35">
        <x:v>0.0</x:v>
      </x:c>
      <x:c r="N252" s="35">
        <x:v>-10.0</x:v>
      </x:c>
      <x:c r="O252" s="37">
        <x:v>-1.0</x:v>
      </x:c>
      <x:c r="P252" s="1" t="s">
        <x:v>26</x:v>
      </x:c>
      <x:c r="R252" s="1" t="s">
        <x:v>70</x:v>
      </x:c>
    </x:row>
    <x:row r="253" ht="15.75" customHeight="1">
      <x:c r="A253" s="1">
        <x:v>2.1003394722E10</x:v>
      </x:c>
      <x:c r="B253" s="34">
        <x:v>46270.63402777778</x:v>
      </x:c>
      <x:c r="C253" s="1" t="s">
        <x:v>18</x:v>
      </x:c>
      <x:c r="D253" s="1" t="s">
        <x:v>19</x:v>
      </x:c>
      <x:c r="E253" s="1" t="s">
        <x:v>744</x:v>
      </x:c>
      <x:c r="F253" s="1" t="s">
        <x:v>78</x:v>
      </x:c>
      <x:c r="G253" s="1" t="s">
        <x:v>261</x:v>
      </x:c>
      <x:c r="H253" s="1" t="s">
        <x:v>104</x:v>
      </x:c>
      <x:c r="I253" s="35">
        <x:v>10.0</x:v>
      </x:c>
      <x:c r="J253" s="36">
        <x:v>1.26</x:v>
      </x:c>
      <x:c r="K253" s="1" t="s">
        <x:v>595</x:v>
      </x:c>
      <x:c r="L253" s="10" t="s">
        <x:v>146</x:v>
      </x:c>
      <x:c r="M253" s="35">
        <x:v>12.6</x:v>
      </x:c>
      <x:c r="N253" s="35">
        <x:v>2.6</x:v>
      </x:c>
      <x:c r="O253" s="37">
        <x:v>0.26</x:v>
      </x:c>
      <x:c r="P253" s="1" t="s">
        <x:v>26</x:v>
      </x:c>
      <x:c r="R253" s="1" t="s">
        <x:v>70</x:v>
      </x:c>
    </x:row>
    <x:row r="254" ht="15.75" customHeight="1">
      <x:c r="A254" s="1">
        <x:v>2.1003013902E10</x:v>
      </x:c>
      <x:c r="B254" s="34">
        <x:v>46270.61388888889</x:v>
      </x:c>
      <x:c r="C254" s="1" t="s">
        <x:v>18</x:v>
      </x:c>
      <x:c r="D254" s="1" t="s">
        <x:v>19</x:v>
      </x:c>
      <x:c r="E254" s="1" t="s">
        <x:v>745</x:v>
      </x:c>
      <x:c r="F254" s="1" t="s">
        <x:v>139</x:v>
      </x:c>
      <x:c r="G254" s="1" t="s">
        <x:v>140</x:v>
      </x:c>
      <x:c r="H254" s="1" t="s">
        <x:v>141</x:v>
      </x:c>
      <x:c r="I254" s="35">
        <x:v>10.0</x:v>
      </x:c>
      <x:c r="J254" s="36">
        <x:v>1.7</x:v>
      </x:c>
      <x:c r="K254" s="1" t="s">
        <x:v>595</x:v>
      </x:c>
      <x:c r="L254" s="10" t="s">
        <x:v>58</x:v>
      </x:c>
      <x:c r="M254" s="35">
        <x:v>17.0</x:v>
      </x:c>
      <x:c r="N254" s="35">
        <x:v>7.0</x:v>
      </x:c>
      <x:c r="O254" s="37">
        <x:v>0.7</x:v>
      </x:c>
      <x:c r="P254" s="1" t="s">
        <x:v>26</x:v>
      </x:c>
      <x:c r="R254" s="1" t="s">
        <x:v>100</x:v>
      </x:c>
    </x:row>
    <x:row r="255" ht="15.75" customHeight="1">
      <x:c r="A255" s="1">
        <x:v>2.1002936402E10</x:v>
      </x:c>
      <x:c r="B255" s="34">
        <x:v>46270.60972222222</x:v>
      </x:c>
      <x:c r="C255" s="1" t="s">
        <x:v>18</x:v>
      </x:c>
      <x:c r="D255" s="1" t="s">
        <x:v>19</x:v>
      </x:c>
      <x:c r="E255" s="1" t="s">
        <x:v>746</x:v>
      </x:c>
      <x:c r="F255" s="1" t="s">
        <x:v>354</x:v>
      </x:c>
      <x:c r="G255" s="1" t="s">
        <x:v>526</x:v>
      </x:c>
      <x:c r="H255" s="1" t="s">
        <x:v>520</x:v>
      </x:c>
      <x:c r="I255" s="35">
        <x:v>10.0</x:v>
      </x:c>
      <x:c r="J255" s="36">
        <x:v>1.44</x:v>
      </x:c>
      <x:c r="K255" s="1" t="s">
        <x:v>595</x:v>
      </x:c>
      <x:c r="L255" s="10" t="s">
        <x:v>633</x:v>
      </x:c>
      <x:c r="M255" s="35">
        <x:v>14.4</x:v>
      </x:c>
      <x:c r="N255" s="35">
        <x:v>4.4</x:v>
      </x:c>
      <x:c r="O255" s="37">
        <x:v>0.44</x:v>
      </x:c>
      <x:c r="P255" s="1" t="s">
        <x:v>26</x:v>
      </x:c>
      <x:c r="Q255" s="1" t="s">
        <x:v>747</x:v>
      </x:c>
      <x:c r="R255" s="1" t="s">
        <x:v>100</x:v>
      </x:c>
    </x:row>
    <x:row r="256" ht="15.75" customHeight="1">
      <x:c r="A256" s="1">
        <x:v>2.1002884552E10</x:v>
      </x:c>
      <x:c r="B256" s="34">
        <x:v>46270.606944444444</x:v>
      </x:c>
      <x:c r="C256" s="1" t="s">
        <x:v>18</x:v>
      </x:c>
      <x:c r="D256" s="1" t="s">
        <x:v>19</x:v>
      </x:c>
      <x:c r="E256" s="1" t="s">
        <x:v>748</x:v>
      </x:c>
      <x:c r="F256" s="1" t="s">
        <x:v>78</x:v>
      </x:c>
      <x:c r="G256" s="1" t="s">
        <x:v>729</x:v>
      </x:c>
      <x:c r="H256" s="1" t="s">
        <x:v>104</x:v>
      </x:c>
      <x:c r="I256" s="35">
        <x:v>10.0</x:v>
      </x:c>
      <x:c r="J256" s="36">
        <x:v>1.7</x:v>
      </x:c>
      <x:c r="K256" s="1" t="s">
        <x:v>599</x:v>
      </x:c>
      <x:c r="L256" s="10" t="s">
        <x:v>46</x:v>
      </x:c>
      <x:c r="M256" s="35">
        <x:v>0.0</x:v>
      </x:c>
      <x:c r="N256" s="35">
        <x:v>-10.0</x:v>
      </x:c>
      <x:c r="O256" s="37">
        <x:v>-1.0</x:v>
      </x:c>
      <x:c r="P256" s="1" t="s">
        <x:v>26</x:v>
      </x:c>
      <x:c r="R256" s="1" t="s">
        <x:v>100</x:v>
      </x:c>
    </x:row>
    <x:row r="257" ht="15.75" customHeight="1">
      <x:c r="A257" s="1">
        <x:v>2.1002868062E10</x:v>
      </x:c>
      <x:c r="B257" s="34">
        <x:v>46270.60625</x:v>
      </x:c>
      <x:c r="C257" s="1" t="s">
        <x:v>18</x:v>
      </x:c>
      <x:c r="D257" s="1" t="s">
        <x:v>19</x:v>
      </x:c>
      <x:c r="E257" s="1" t="s">
        <x:v>749</x:v>
      </x:c>
      <x:c r="F257" s="1" t="s">
        <x:v>21</x:v>
      </x:c>
      <x:c r="G257" s="1" t="s">
        <x:v>750</x:v>
      </x:c>
      <x:c r="H257" s="1" t="s">
        <x:v>23</x:v>
      </x:c>
      <x:c r="I257" s="35">
        <x:v>10.0</x:v>
      </x:c>
      <x:c r="J257" s="36">
        <x:v>1.39</x:v>
      </x:c>
      <x:c r="K257" s="1" t="s">
        <x:v>599</x:v>
      </x:c>
      <x:c r="L257" s="1" t="s">
        <x:v>35</x:v>
      </x:c>
      <x:c r="M257" s="35">
        <x:v>0.0</x:v>
      </x:c>
      <x:c r="N257" s="35">
        <x:v>-10.0</x:v>
      </x:c>
      <x:c r="O257" s="37">
        <x:v>-1.0</x:v>
      </x:c>
      <x:c r="P257" s="1" t="s">
        <x:v>26</x:v>
      </x:c>
      <x:c r="R257" s="1" t="s">
        <x:v>100</x:v>
      </x:c>
    </x:row>
    <x:row r="258" ht="15.75" customHeight="1">
      <x:c r="A258" s="1">
        <x:v>2.1002865722E10</x:v>
      </x:c>
      <x:c r="B258" s="34">
        <x:v>46270.60555555556</x:v>
      </x:c>
      <x:c r="C258" s="1" t="s">
        <x:v>18</x:v>
      </x:c>
      <x:c r="D258" s="1" t="s">
        <x:v>19</x:v>
      </x:c>
      <x:c r="E258" s="1" t="s">
        <x:v>749</x:v>
      </x:c>
      <x:c r="F258" s="1" t="s">
        <x:v>369</x:v>
      </x:c>
      <x:c r="G258" s="1" t="s">
        <x:v>750</x:v>
      </x:c>
      <x:c r="H258" s="1" t="s">
        <x:v>371</x:v>
      </x:c>
      <x:c r="I258" s="35">
        <x:v>10.0</x:v>
      </x:c>
      <x:c r="J258" s="36">
        <x:v>1.32</x:v>
      </x:c>
      <x:c r="K258" s="1" t="s">
        <x:v>599</x:v>
      </x:c>
      <x:c r="L258" s="1" t="s">
        <x:v>35</x:v>
      </x:c>
      <x:c r="M258" s="35">
        <x:v>0.0</x:v>
      </x:c>
      <x:c r="N258" s="35">
        <x:v>-10.0</x:v>
      </x:c>
      <x:c r="O258" s="37">
        <x:v>-1.0</x:v>
      </x:c>
      <x:c r="P258" s="1" t="s">
        <x:v>26</x:v>
      </x:c>
      <x:c r="R258" s="1" t="s">
        <x:v>100</x:v>
      </x:c>
    </x:row>
    <x:row r="259" ht="15.75" customHeight="1">
      <x:c r="A259" s="1">
        <x:v>2.1002862642E10</x:v>
      </x:c>
      <x:c r="B259" s="34">
        <x:v>46270.60555555556</x:v>
      </x:c>
      <x:c r="C259" s="1" t="s">
        <x:v>18</x:v>
      </x:c>
      <x:c r="D259" s="1" t="s">
        <x:v>19</x:v>
      </x:c>
      <x:c r="E259" s="1" t="s">
        <x:v>749</x:v>
      </x:c>
      <x:c r="F259" s="1" t="s">
        <x:v>78</x:v>
      </x:c>
      <x:c r="G259" s="1" t="s">
        <x:v>381</x:v>
      </x:c>
      <x:c r="H259" s="1" t="s">
        <x:v>104</x:v>
      </x:c>
      <x:c r="I259" s="35">
        <x:v>10.0</x:v>
      </x:c>
      <x:c r="J259" s="36">
        <x:v>1.1</x:v>
      </x:c>
      <x:c r="K259" s="1" t="s">
        <x:v>599</x:v>
      </x:c>
      <x:c r="L259" s="1" t="s">
        <x:v>35</x:v>
      </x:c>
      <x:c r="M259" s="35">
        <x:v>0.0</x:v>
      </x:c>
      <x:c r="N259" s="35">
        <x:v>-10.0</x:v>
      </x:c>
      <x:c r="O259" s="37">
        <x:v>-1.0</x:v>
      </x:c>
      <x:c r="P259" s="1" t="s">
        <x:v>26</x:v>
      </x:c>
      <x:c r="R259" s="1" t="s">
        <x:v>100</x:v>
      </x:c>
    </x:row>
    <x:row r="260" ht="15.75" customHeight="1">
      <x:c r="A260" s="1">
        <x:v>2.0999644632E10</x:v>
      </x:c>
      <x:c r="B260" s="34">
        <x:v>46270.42916666667</x:v>
      </x:c>
      <x:c r="C260" s="1" t="s">
        <x:v>18</x:v>
      </x:c>
      <x:c r="D260" s="1" t="s">
        <x:v>19</x:v>
      </x:c>
      <x:c r="E260" s="1" t="s">
        <x:v>751</x:v>
      </x:c>
      <x:c r="F260" s="1" t="s">
        <x:v>354</x:v>
      </x:c>
      <x:c r="G260" s="1" t="s">
        <x:v>752</x:v>
      </x:c>
      <x:c r="H260" s="1" t="s">
        <x:v>753</x:v>
      </x:c>
      <x:c r="I260" s="35">
        <x:v>0.67</x:v>
      </x:c>
      <x:c r="J260" s="36">
        <x:v>1.57</x:v>
      </x:c>
      <x:c r="K260" s="1" t="s">
        <x:v>599</x:v>
      </x:c>
      <x:c r="L260" s="1" t="s">
        <x:v>35</x:v>
      </x:c>
      <x:c r="M260" s="35">
        <x:v>0.0</x:v>
      </x:c>
      <x:c r="N260" s="35">
        <x:v>-0.67</x:v>
      </x:c>
      <x:c r="O260" s="37">
        <x:v>-1.0</x:v>
      </x:c>
      <x:c r="P260" s="1" t="s">
        <x:v>26</x:v>
      </x:c>
      <x:c r="Q260" s="1" t="s">
        <x:v>754</x:v>
      </x:c>
      <x:c r="R260" s="1" t="s">
        <x:v>70</x:v>
      </x:c>
    </x:row>
    <x:row r="261" ht="15.75" customHeight="1">
      <x:c r="A261" s="1">
        <x:v>2.0999629942E10</x:v>
      </x:c>
      <x:c r="B261" s="34">
        <x:v>46270.42847222222</x:v>
      </x:c>
      <x:c r="C261" s="1" t="s">
        <x:v>18</x:v>
      </x:c>
      <x:c r="D261" s="1" t="s">
        <x:v>19</x:v>
      </x:c>
      <x:c r="E261" s="1" t="s">
        <x:v>755</x:v>
      </x:c>
      <x:c r="F261" s="1" t="s">
        <x:v>354</x:v>
      </x:c>
      <x:c r="G261" s="1" t="s">
        <x:v>756</x:v>
      </x:c>
      <x:c r="H261" s="1" t="s">
        <x:v>757</x:v>
      </x:c>
      <x:c r="I261" s="35">
        <x:v>10.0</x:v>
      </x:c>
      <x:c r="J261" s="36">
        <x:v>1.53</x:v>
      </x:c>
      <x:c r="K261" s="1" t="s">
        <x:v>599</x:v>
      </x:c>
      <x:c r="L261" s="10" t="s">
        <x:v>128</x:v>
      </x:c>
      <x:c r="M261" s="35">
        <x:v>0.0</x:v>
      </x:c>
      <x:c r="N261" s="35">
        <x:v>-10.0</x:v>
      </x:c>
      <x:c r="O261" s="37">
        <x:v>-1.0</x:v>
      </x:c>
      <x:c r="P261" s="1" t="s">
        <x:v>26</x:v>
      </x:c>
      <x:c r="Q261" s="1" t="s">
        <x:v>758</x:v>
      </x:c>
      <x:c r="R261" s="1" t="s">
        <x:v>70</x:v>
      </x:c>
    </x:row>
    <x:row r="262" ht="15.75" customHeight="1">
      <x:c r="A262" s="1">
        <x:v>2.0999616832E10</x:v>
      </x:c>
      <x:c r="B262" s="34">
        <x:v>46270.427777777775</x:v>
      </x:c>
      <x:c r="C262" s="1" t="s">
        <x:v>18</x:v>
      </x:c>
      <x:c r="D262" s="1" t="s">
        <x:v>19</x:v>
      </x:c>
      <x:c r="E262" s="1" t="s">
        <x:v>759</x:v>
      </x:c>
      <x:c r="F262" s="1" t="s">
        <x:v>354</x:v>
      </x:c>
      <x:c r="G262" s="1" t="s">
        <x:v>519</x:v>
      </x:c>
      <x:c r="H262" s="1" t="s">
        <x:v>520</x:v>
      </x:c>
      <x:c r="I262" s="35">
        <x:v>10.0</x:v>
      </x:c>
      <x:c r="J262" s="36">
        <x:v>1.57</x:v>
      </x:c>
      <x:c r="K262" s="1" t="s">
        <x:v>595</x:v>
      </x:c>
      <x:c r="L262" s="10" t="s">
        <x:v>146</x:v>
      </x:c>
      <x:c r="M262" s="35">
        <x:v>15.7</x:v>
      </x:c>
      <x:c r="N262" s="35">
        <x:v>5.7</x:v>
      </x:c>
      <x:c r="O262" s="37">
        <x:v>0.57</x:v>
      </x:c>
      <x:c r="P262" s="1" t="s">
        <x:v>26</x:v>
      </x:c>
      <x:c r="Q262" s="1" t="s">
        <x:v>760</x:v>
      </x:c>
      <x:c r="R262" s="1" t="s">
        <x:v>70</x:v>
      </x:c>
    </x:row>
    <x:row r="263" ht="15.75" customHeight="1">
      <x:c r="A263" s="1">
        <x:v>2.0999602982E10</x:v>
      </x:c>
      <x:c r="B263" s="34">
        <x:v>46270.427083333336</x:v>
      </x:c>
      <x:c r="C263" s="1" t="s">
        <x:v>18</x:v>
      </x:c>
      <x:c r="D263" s="1" t="s">
        <x:v>19</x:v>
      </x:c>
      <x:c r="E263" s="1" t="s">
        <x:v>761</x:v>
      </x:c>
      <x:c r="F263" s="1" t="s">
        <x:v>354</x:v>
      </x:c>
      <x:c r="G263" s="1" t="s">
        <x:v>762</x:v>
      </x:c>
      <x:c r="H263" s="1" t="s">
        <x:v>365</x:v>
      </x:c>
      <x:c r="I263" s="35">
        <x:v>10.0</x:v>
      </x:c>
      <x:c r="J263" s="36">
        <x:v>1.5</x:v>
      </x:c>
      <x:c r="K263" s="1" t="s">
        <x:v>599</x:v>
      </x:c>
      <x:c r="L263" s="1" t="s">
        <x:v>29</x:v>
      </x:c>
      <x:c r="M263" s="35">
        <x:v>0.0</x:v>
      </x:c>
      <x:c r="N263" s="35">
        <x:v>-10.0</x:v>
      </x:c>
      <x:c r="O263" s="37">
        <x:v>-1.0</x:v>
      </x:c>
      <x:c r="P263" s="1" t="s">
        <x:v>26</x:v>
      </x:c>
      <x:c r="Q263" s="1" t="s">
        <x:v>763</x:v>
      </x:c>
      <x:c r="R263" s="1" t="s">
        <x:v>70</x:v>
      </x:c>
    </x:row>
    <x:row r="264" ht="15.75" customHeight="1">
      <x:c r="A264" s="1">
        <x:v>2.0999585652E10</x:v>
      </x:c>
      <x:c r="B264" s="34">
        <x:v>46270.42638888889</x:v>
      </x:c>
      <x:c r="C264" s="1" t="s">
        <x:v>18</x:v>
      </x:c>
      <x:c r="D264" s="1" t="s">
        <x:v>19</x:v>
      </x:c>
      <x:c r="E264" s="1" t="s">
        <x:v>764</x:v>
      </x:c>
      <x:c r="F264" s="1" t="s">
        <x:v>354</x:v>
      </x:c>
      <x:c r="G264" s="1" t="s">
        <x:v>765</x:v>
      </x:c>
      <x:c r="H264" s="1" t="s">
        <x:v>766</x:v>
      </x:c>
      <x:c r="I264" s="35">
        <x:v>10.0</x:v>
      </x:c>
      <x:c r="J264" s="36">
        <x:v>1.45</x:v>
      </x:c>
      <x:c r="K264" s="1" t="s">
        <x:v>595</x:v>
      </x:c>
      <x:c r="L264" s="10" t="s">
        <x:v>38</x:v>
      </x:c>
      <x:c r="M264" s="35">
        <x:v>14.5</x:v>
      </x:c>
      <x:c r="N264" s="35">
        <x:v>4.5</x:v>
      </x:c>
      <x:c r="O264" s="37">
        <x:v>0.45</x:v>
      </x:c>
      <x:c r="P264" s="1" t="s">
        <x:v>26</x:v>
      </x:c>
      <x:c r="Q264" s="1" t="s">
        <x:v>767</x:v>
      </x:c>
      <x:c r="R264" s="1" t="s">
        <x:v>70</x:v>
      </x:c>
    </x:row>
    <x:row r="265" ht="15.75" customHeight="1">
      <x:c r="A265" s="1">
        <x:v>2.0999575872E10</x:v>
      </x:c>
      <x:c r="B265" s="34">
        <x:v>46270.42569444444</x:v>
      </x:c>
      <x:c r="C265" s="1" t="s">
        <x:v>18</x:v>
      </x:c>
      <x:c r="D265" s="1" t="s">
        <x:v>19</x:v>
      </x:c>
      <x:c r="E265" s="1" t="s">
        <x:v>768</x:v>
      </x:c>
      <x:c r="F265" s="1" t="s">
        <x:v>354</x:v>
      </x:c>
      <x:c r="G265" s="1" t="s">
        <x:v>769</x:v>
      </x:c>
      <x:c r="H265" s="1" t="s">
        <x:v>753</x:v>
      </x:c>
      <x:c r="I265" s="35">
        <x:v>10.0</x:v>
      </x:c>
      <x:c r="J265" s="36">
        <x:v>1.52</x:v>
      </x:c>
      <x:c r="K265" s="1" t="s">
        <x:v>595</x:v>
      </x:c>
      <x:c r="L265" s="10" t="s">
        <x:v>46</x:v>
      </x:c>
      <x:c r="M265" s="35">
        <x:v>15.2</x:v>
      </x:c>
      <x:c r="N265" s="35">
        <x:v>5.2</x:v>
      </x:c>
      <x:c r="O265" s="37">
        <x:v>0.52</x:v>
      </x:c>
      <x:c r="P265" s="1" t="s">
        <x:v>26</x:v>
      </x:c>
      <x:c r="Q265" s="1" t="s">
        <x:v>770</x:v>
      </x:c>
      <x:c r="R265" s="1" t="s">
        <x:v>70</x:v>
      </x:c>
    </x:row>
    <x:row r="266" ht="15.75" customHeight="1">
      <x:c r="A266" s="1">
        <x:v>2.0999558252E10</x:v>
      </x:c>
      <x:c r="B266" s="34">
        <x:v>46270.424305555556</x:v>
      </x:c>
      <x:c r="C266" s="1" t="s">
        <x:v>18</x:v>
      </x:c>
      <x:c r="D266" s="1" t="s">
        <x:v>19</x:v>
      </x:c>
      <x:c r="E266" s="1" t="s">
        <x:v>771</x:v>
      </x:c>
      <x:c r="F266" s="1" t="s">
        <x:v>186</x:v>
      </x:c>
      <x:c r="G266" s="1" t="s">
        <x:v>772</x:v>
      </x:c>
      <x:c r="H266" s="1" t="s">
        <x:v>23</x:v>
      </x:c>
      <x:c r="I266" s="35">
        <x:v>10.0</x:v>
      </x:c>
      <x:c r="J266" s="36">
        <x:v>1.6</x:v>
      </x:c>
      <x:c r="K266" s="1" t="s">
        <x:v>599</x:v>
      </x:c>
      <x:c r="L266" s="1" t="s">
        <x:v>25</x:v>
      </x:c>
      <x:c r="M266" s="35">
        <x:v>0.0</x:v>
      </x:c>
      <x:c r="N266" s="35">
        <x:v>-10.0</x:v>
      </x:c>
      <x:c r="O266" s="37">
        <x:v>-1.0</x:v>
      </x:c>
      <x:c r="P266" s="1" t="s">
        <x:v>61</x:v>
      </x:c>
      <x:c r="R266" s="1" t="s">
        <x:v>70</x:v>
      </x:c>
    </x:row>
    <x:row r="267" ht="15.75" customHeight="1">
      <x:c r="A267" s="1">
        <x:v>2.0999419332E10</x:v>
      </x:c>
      <x:c r="B267" s="34">
        <x:v>46270.416666666664</x:v>
      </x:c>
      <x:c r="C267" s="1" t="s">
        <x:v>18</x:v>
      </x:c>
      <x:c r="D267" s="1" t="s">
        <x:v>19</x:v>
      </x:c>
      <x:c r="E267" s="1" t="s">
        <x:v>773</x:v>
      </x:c>
      <x:c r="F267" s="1" t="s">
        <x:v>78</x:v>
      </x:c>
      <x:c r="G267" s="1" t="s">
        <x:v>381</x:v>
      </x:c>
      <x:c r="H267" s="1" t="s">
        <x:v>104</x:v>
      </x:c>
      <x:c r="I267" s="35">
        <x:v>10.0</x:v>
      </x:c>
      <x:c r="J267" s="36">
        <x:v>1.45</x:v>
      </x:c>
      <x:c r="K267" s="1" t="s">
        <x:v>599</x:v>
      </x:c>
      <x:c r="L267" s="1" t="s">
        <x:v>35</x:v>
      </x:c>
      <x:c r="M267" s="35">
        <x:v>0.0</x:v>
      </x:c>
      <x:c r="N267" s="35">
        <x:v>-10.0</x:v>
      </x:c>
      <x:c r="O267" s="37">
        <x:v>-1.0</x:v>
      </x:c>
      <x:c r="P267" s="1" t="s">
        <x:v>26</x:v>
      </x:c>
      <x:c r="R267" s="1" t="s">
        <x:v>100</x:v>
      </x:c>
    </x:row>
    <x:row r="268" ht="15.75" customHeight="1">
      <x:c r="A268" s="1">
        <x:v>2.0999410872E10</x:v>
      </x:c>
      <x:c r="B268" s="34">
        <x:v>46270.416666666664</x:v>
      </x:c>
      <x:c r="C268" s="1" t="s">
        <x:v>18</x:v>
      </x:c>
      <x:c r="D268" s="1" t="s">
        <x:v>19</x:v>
      </x:c>
      <x:c r="E268" s="1" t="s">
        <x:v>774</x:v>
      </x:c>
      <x:c r="F268" s="1" t="s">
        <x:v>354</x:v>
      </x:c>
      <x:c r="G268" s="1" t="s">
        <x:v>775</x:v>
      </x:c>
      <x:c r="H268" s="1" t="s">
        <x:v>615</x:v>
      </x:c>
      <x:c r="I268" s="35">
        <x:v>10.0</x:v>
      </x:c>
      <x:c r="J268" s="36">
        <x:v>1.65</x:v>
      </x:c>
      <x:c r="K268" s="1" t="s">
        <x:v>595</x:v>
      </x:c>
      <x:c r="L268" s="10" t="s">
        <x:v>44</x:v>
      </x:c>
      <x:c r="M268" s="35">
        <x:v>16.5</x:v>
      </x:c>
      <x:c r="N268" s="35">
        <x:v>6.5</x:v>
      </x:c>
      <x:c r="O268" s="37">
        <x:v>0.65</x:v>
      </x:c>
      <x:c r="P268" s="1" t="s">
        <x:v>26</x:v>
      </x:c>
      <x:c r="Q268" s="1" t="s">
        <x:v>776</x:v>
      </x:c>
      <x:c r="R268" s="1" t="s">
        <x:v>100</x:v>
      </x:c>
    </x:row>
    <x:row r="269" ht="15.75" customHeight="1">
      <x:c r="A269" s="1">
        <x:v>2.0999398302E10</x:v>
      </x:c>
      <x:c r="B269" s="34">
        <x:v>46270.415972222225</x:v>
      </x:c>
      <x:c r="C269" s="1" t="s">
        <x:v>18</x:v>
      </x:c>
      <x:c r="D269" s="1" t="s">
        <x:v>19</x:v>
      </x:c>
      <x:c r="E269" s="1" t="s">
        <x:v>777</x:v>
      </x:c>
      <x:c r="F269" s="1" t="s">
        <x:v>78</x:v>
      </x:c>
      <x:c r="G269" s="1" t="s">
        <x:v>261</x:v>
      </x:c>
      <x:c r="H269" s="1" t="s">
        <x:v>104</x:v>
      </x:c>
      <x:c r="I269" s="35">
        <x:v>10.0</x:v>
      </x:c>
      <x:c r="J269" s="36">
        <x:v>1.22</x:v>
      </x:c>
      <x:c r="K269" s="1" t="s">
        <x:v>595</x:v>
      </x:c>
      <x:c r="L269" s="10" t="s">
        <x:v>41</x:v>
      </x:c>
      <x:c r="M269" s="35">
        <x:v>12.2</x:v>
      </x:c>
      <x:c r="N269" s="35">
        <x:v>2.2</x:v>
      </x:c>
      <x:c r="O269" s="37">
        <x:v>0.22</x:v>
      </x:c>
      <x:c r="P269" s="1" t="s">
        <x:v>26</x:v>
      </x:c>
      <x:c r="R269" s="1" t="s">
        <x:v>100</x:v>
      </x:c>
    </x:row>
    <x:row r="270" ht="15.75" customHeight="1">
      <x:c r="A270" s="1">
        <x:v>2.0999391652E10</x:v>
      </x:c>
      <x:c r="B270" s="34">
        <x:v>46270.41527777778</x:v>
      </x:c>
      <x:c r="C270" s="1" t="s">
        <x:v>18</x:v>
      </x:c>
      <x:c r="D270" s="1" t="s">
        <x:v>19</x:v>
      </x:c>
      <x:c r="E270" s="1" t="s">
        <x:v>778</x:v>
      </x:c>
      <x:c r="F270" s="1" t="s">
        <x:v>78</x:v>
      </x:c>
      <x:c r="G270" s="1" t="s">
        <x:v>346</x:v>
      </x:c>
      <x:c r="H270" s="1" t="s">
        <x:v>104</x:v>
      </x:c>
      <x:c r="I270" s="35">
        <x:v>10.0</x:v>
      </x:c>
      <x:c r="J270" s="36">
        <x:v>1.65</x:v>
      </x:c>
      <x:c r="K270" s="1" t="s">
        <x:v>599</x:v>
      </x:c>
      <x:c r="L270" s="10" t="s">
        <x:v>38</x:v>
      </x:c>
      <x:c r="M270" s="35">
        <x:v>0.0</x:v>
      </x:c>
      <x:c r="N270" s="35">
        <x:v>-10.0</x:v>
      </x:c>
      <x:c r="O270" s="37">
        <x:v>-1.0</x:v>
      </x:c>
      <x:c r="P270" s="1" t="s">
        <x:v>26</x:v>
      </x:c>
      <x:c r="R270" s="1" t="s">
        <x:v>100</x:v>
      </x:c>
    </x:row>
    <x:row r="271" ht="15.75" customHeight="1">
      <x:c r="A271" s="1">
        <x:v>2.0999362302E10</x:v>
      </x:c>
      <x:c r="B271" s="34">
        <x:v>46270.41388888889</x:v>
      </x:c>
      <x:c r="C271" s="1" t="s">
        <x:v>18</x:v>
      </x:c>
      <x:c r="D271" s="1" t="s">
        <x:v>19</x:v>
      </x:c>
      <x:c r="E271" s="1" t="s">
        <x:v>779</x:v>
      </x:c>
      <x:c r="F271" s="1" t="s">
        <x:v>78</x:v>
      </x:c>
      <x:c r="G271" s="1" t="s">
        <x:v>214</x:v>
      </x:c>
      <x:c r="H271" s="1" t="s">
        <x:v>80</x:v>
      </x:c>
      <x:c r="I271" s="35">
        <x:v>10.0</x:v>
      </x:c>
      <x:c r="J271" s="36">
        <x:v>1.34</x:v>
      </x:c>
      <x:c r="K271" s="1" t="s">
        <x:v>595</x:v>
      </x:c>
      <x:c r="L271" s="10" t="s">
        <x:v>41</x:v>
      </x:c>
      <x:c r="M271" s="35">
        <x:v>13.4</x:v>
      </x:c>
      <x:c r="N271" s="35">
        <x:v>3.4</x:v>
      </x:c>
      <x:c r="O271" s="37">
        <x:v>0.34</x:v>
      </x:c>
      <x:c r="P271" s="1" t="s">
        <x:v>26</x:v>
      </x:c>
      <x:c r="R271" s="1" t="s">
        <x:v>100</x:v>
      </x:c>
    </x:row>
    <x:row r="272" ht="15.75" customHeight="1">
      <x:c r="A272" s="1">
        <x:v>2.0999299092E10</x:v>
      </x:c>
      <x:c r="B272" s="34">
        <x:v>46270.40972222222</x:v>
      </x:c>
      <x:c r="C272" s="1" t="s">
        <x:v>18</x:v>
      </x:c>
      <x:c r="D272" s="1" t="s">
        <x:v>19</x:v>
      </x:c>
      <x:c r="E272" s="1" t="s">
        <x:v>780</x:v>
      </x:c>
      <x:c r="F272" s="1" t="s">
        <x:v>78</x:v>
      </x:c>
      <x:c r="G272" s="1" t="s">
        <x:v>103</x:v>
      </x:c>
      <x:c r="H272" s="1" t="s">
        <x:v>104</x:v>
      </x:c>
      <x:c r="I272" s="35">
        <x:v>0.5</x:v>
      </x:c>
      <x:c r="J272" s="36">
        <x:v>1.47</x:v>
      </x:c>
      <x:c r="K272" s="1" t="s">
        <x:v>599</x:v>
      </x:c>
      <x:c r="L272" s="1" t="s">
        <x:v>32</x:v>
      </x:c>
      <x:c r="M272" s="35">
        <x:v>0.0</x:v>
      </x:c>
      <x:c r="N272" s="35">
        <x:v>-0.5</x:v>
      </x:c>
      <x:c r="O272" s="37">
        <x:v>-1.0</x:v>
      </x:c>
      <x:c r="P272" s="1" t="s">
        <x:v>26</x:v>
      </x:c>
      <x:c r="R272" s="1" t="s">
        <x:v>100</x:v>
      </x:c>
    </x:row>
    <x:row r="273" ht="15.75" customHeight="1">
      <x:c r="A273" s="10" t="s">
        <x:v>781</x:v>
      </x:c>
      <x:c r="B273" s="10" t="s">
        <x:v>782</x:v>
      </x:c>
      <x:c r="C273" s="1" t="s">
        <x:v>18</x:v>
      </x:c>
      <x:c r="D273" s="1" t="s">
        <x:v>19</x:v>
      </x:c>
      <x:c r="E273" s="1" t="s">
        <x:v>783</x:v>
      </x:c>
      <x:c r="F273" s="1" t="s">
        <x:v>234</x:v>
      </x:c>
      <x:c r="G273" s="1" t="s">
        <x:v>61</x:v>
      </x:c>
      <x:c r="H273" s="1" t="s">
        <x:v>350</x:v>
      </x:c>
      <x:c r="I273" s="1">
        <x:v>10.0</x:v>
      </x:c>
      <x:c r="J273" s="1">
        <x:v>1.9</x:v>
      </x:c>
      <x:c r="K273" s="1" t="s">
        <x:v>595</x:v>
      </x:c>
      <x:c r="L273" s="10" t="s">
        <x:v>44</x:v>
      </x:c>
      <x:c r="M273" s="1">
        <x:v>19.0</x:v>
      </x:c>
      <x:c r="N273" s="1">
        <x:v>9.0</x:v>
      </x:c>
      <x:c r="O273" s="2" t="n">
        <x:f t="shared" ref="O273:O330" si="3">IFERROR(N273/I273,0)</x:f>
        <x:v>0.9</x:v>
      </x:c>
      <x:c r="P273" s="1" t="s">
        <x:v>26</x:v>
      </x:c>
      <x:c r="Q273" s="1" t="s">
        <x:v>187</x:v>
      </x:c>
      <x:c r="R273" s="1" t="s">
        <x:v>118</x:v>
      </x:c>
    </x:row>
    <x:row r="274" ht="15.75" customHeight="1">
      <x:c r="A274" s="10" t="s">
        <x:v>784</x:v>
      </x:c>
      <x:c r="B274" s="10" t="s">
        <x:v>785</x:v>
      </x:c>
      <x:c r="C274" s="1" t="s">
        <x:v>18</x:v>
      </x:c>
      <x:c r="D274" s="1" t="s">
        <x:v>19</x:v>
      </x:c>
      <x:c r="E274" s="1" t="s">
        <x:v>786</x:v>
      </x:c>
      <x:c r="F274" s="1" t="s">
        <x:v>787</x:v>
      </x:c>
      <x:c r="G274" s="1" t="s">
        <x:v>788</x:v>
      </x:c>
      <x:c r="H274" s="1" t="s">
        <x:v>371</x:v>
      </x:c>
      <x:c r="I274" s="1">
        <x:v>10.0</x:v>
      </x:c>
      <x:c r="J274" s="1">
        <x:v>1.57</x:v>
      </x:c>
      <x:c r="K274" s="1" t="s">
        <x:v>595</x:v>
      </x:c>
      <x:c r="L274" s="10" t="s">
        <x:v>38</x:v>
      </x:c>
      <x:c r="M274" s="1">
        <x:v>15.7</x:v>
      </x:c>
      <x:c r="N274" s="1">
        <x:v>5.7</x:v>
      </x:c>
      <x:c r="O274" s="2">
        <x:f t="shared" si="3"/>
        <x:v>0.57</x:v>
      </x:c>
      <x:c r="P274" s="1" t="s">
        <x:v>26</x:v>
      </x:c>
      <x:c r="Q274" s="1" t="s">
        <x:v>187</x:v>
      </x:c>
      <x:c r="R274" s="1" t="s">
        <x:v>100</x:v>
      </x:c>
    </x:row>
    <x:row r="275" ht="15.75" customHeight="1">
      <x:c r="A275" s="10" t="s">
        <x:v>789</x:v>
      </x:c>
      <x:c r="B275" s="10" t="s">
        <x:v>790</x:v>
      </x:c>
      <x:c r="C275" s="1" t="s">
        <x:v>18</x:v>
      </x:c>
      <x:c r="D275" s="1" t="s">
        <x:v>19</x:v>
      </x:c>
      <x:c r="E275" s="1" t="s">
        <x:v>791</x:v>
      </x:c>
      <x:c r="F275" s="1" t="s">
        <x:v>78</x:v>
      </x:c>
      <x:c r="G275" s="1" t="s">
        <x:v>318</x:v>
      </x:c>
      <x:c r="H275" s="1" t="s">
        <x:v>104</x:v>
      </x:c>
      <x:c r="I275" s="1">
        <x:v>10.0</x:v>
      </x:c>
      <x:c r="J275" s="1">
        <x:v>1.62</x:v>
      </x:c>
      <x:c r="K275" s="1" t="s">
        <x:v>595</x:v>
      </x:c>
      <x:c r="L275" s="1" t="s">
        <x:v>64</x:v>
      </x:c>
      <x:c r="M275" s="1">
        <x:v>16.2</x:v>
      </x:c>
      <x:c r="N275" s="1">
        <x:v>6.2</x:v>
      </x:c>
      <x:c r="O275" s="2">
        <x:f t="shared" si="3"/>
        <x:v>0.62</x:v>
      </x:c>
      <x:c r="P275" s="1" t="s">
        <x:v>26</x:v>
      </x:c>
      <x:c r="Q275" s="1" t="s">
        <x:v>187</x:v>
      </x:c>
      <x:c r="R275" s="1" t="s">
        <x:v>100</x:v>
      </x:c>
    </x:row>
    <x:row r="276" ht="15.75" customHeight="1">
      <x:c r="A276" s="10" t="s">
        <x:v>792</x:v>
      </x:c>
      <x:c r="B276" s="10" t="s">
        <x:v>793</x:v>
      </x:c>
      <x:c r="C276" s="1" t="s">
        <x:v>18</x:v>
      </x:c>
      <x:c r="D276" s="1" t="s">
        <x:v>19</x:v>
      </x:c>
      <x:c r="E276" s="1" t="s">
        <x:v>794</x:v>
      </x:c>
      <x:c r="F276" s="1" t="s">
        <x:v>787</x:v>
      </x:c>
      <x:c r="G276" s="1" t="s">
        <x:v>795</x:v>
      </x:c>
      <x:c r="H276" s="1" t="s">
        <x:v>371</x:v>
      </x:c>
      <x:c r="I276" s="1">
        <x:v>10.0</x:v>
      </x:c>
      <x:c r="J276" s="1">
        <x:v>2.45</x:v>
      </x:c>
      <x:c r="K276" s="1" t="s">
        <x:v>595</x:v>
      </x:c>
      <x:c r="L276" s="10" t="s">
        <x:v>38</x:v>
      </x:c>
      <x:c r="M276" s="1">
        <x:v>24.5</x:v>
      </x:c>
      <x:c r="N276" s="1">
        <x:v>14.5</x:v>
      </x:c>
      <x:c r="O276" s="2">
        <x:f t="shared" si="3"/>
        <x:v>1.45</x:v>
      </x:c>
      <x:c r="P276" s="1" t="s">
        <x:v>26</x:v>
      </x:c>
      <x:c r="Q276" s="1" t="s">
        <x:v>187</x:v>
      </x:c>
      <x:c r="R276" s="1" t="s">
        <x:v>100</x:v>
      </x:c>
    </x:row>
    <x:row r="277" ht="15.75" customHeight="1">
      <x:c r="A277" s="10" t="s">
        <x:v>796</x:v>
      </x:c>
      <x:c r="B277" s="10" t="s">
        <x:v>797</x:v>
      </x:c>
      <x:c r="C277" s="1" t="s">
        <x:v>18</x:v>
      </x:c>
      <x:c r="D277" s="1" t="s">
        <x:v>19</x:v>
      </x:c>
      <x:c r="E277" s="1" t="s">
        <x:v>798</x:v>
      </x:c>
      <x:c r="F277" s="1" t="s">
        <x:v>78</x:v>
      </x:c>
      <x:c r="G277" s="1" t="s">
        <x:v>381</x:v>
      </x:c>
      <x:c r="H277" s="1" t="s">
        <x:v>104</x:v>
      </x:c>
      <x:c r="I277" s="1">
        <x:v>10.0</x:v>
      </x:c>
      <x:c r="J277" s="1">
        <x:v>1.91</x:v>
      </x:c>
      <x:c r="K277" s="1" t="s">
        <x:v>595</x:v>
      </x:c>
      <x:c r="L277" s="1" t="s">
        <x:v>29</x:v>
      </x:c>
      <x:c r="M277" s="1">
        <x:v>19.1</x:v>
      </x:c>
      <x:c r="N277" s="1">
        <x:v>9.1</x:v>
      </x:c>
      <x:c r="O277" s="2">
        <x:f t="shared" si="3"/>
        <x:v>0.91</x:v>
      </x:c>
      <x:c r="P277" s="1" t="s">
        <x:v>26</x:v>
      </x:c>
      <x:c r="Q277" s="1" t="s">
        <x:v>187</x:v>
      </x:c>
      <x:c r="R277" s="1" t="s">
        <x:v>100</x:v>
      </x:c>
    </x:row>
    <x:row r="278" ht="15.75" customHeight="1">
      <x:c r="A278" s="10" t="s">
        <x:v>799</x:v>
      </x:c>
      <x:c r="B278" s="10" t="s">
        <x:v>800</x:v>
      </x:c>
      <x:c r="C278" s="1" t="s">
        <x:v>18</x:v>
      </x:c>
      <x:c r="D278" s="1" t="s">
        <x:v>19</x:v>
      </x:c>
      <x:c r="E278" s="1" t="s">
        <x:v>801</x:v>
      </x:c>
      <x:c r="F278" s="1" t="s">
        <x:v>802</x:v>
      </x:c>
      <x:c r="G278" s="1" t="s">
        <x:v>803</x:v>
      </x:c>
      <x:c r="H278" s="1" t="s">
        <x:v>371</x:v>
      </x:c>
      <x:c r="I278" s="1">
        <x:v>10.0</x:v>
      </x:c>
      <x:c r="J278" s="1">
        <x:v>2.15</x:v>
      </x:c>
      <x:c r="K278" s="1" t="s">
        <x:v>599</x:v>
      </x:c>
      <x:c r="L278" s="1" t="s">
        <x:v>35</x:v>
      </x:c>
      <x:c r="M278" s="1">
        <x:v>0.0</x:v>
      </x:c>
      <x:c r="N278" s="1">
        <x:v>-10.0</x:v>
      </x:c>
      <x:c r="O278" s="2">
        <x:f t="shared" si="3"/>
        <x:v>-1</x:v>
      </x:c>
      <x:c r="P278" s="1" t="s">
        <x:v>26</x:v>
      </x:c>
      <x:c r="Q278" s="1" t="s">
        <x:v>187</x:v>
      </x:c>
      <x:c r="R278" s="1" t="s">
        <x:v>100</x:v>
      </x:c>
    </x:row>
    <x:row r="279" ht="15.75" customHeight="1">
      <x:c r="A279" s="10" t="s">
        <x:v>804</x:v>
      </x:c>
      <x:c r="B279" s="10" t="s">
        <x:v>805</x:v>
      </x:c>
      <x:c r="C279" s="1" t="s">
        <x:v>18</x:v>
      </x:c>
      <x:c r="D279" s="1" t="s">
        <x:v>19</x:v>
      </x:c>
      <x:c r="E279" s="1" t="s">
        <x:v>806</x:v>
      </x:c>
      <x:c r="F279" s="1" t="s">
        <x:v>78</x:v>
      </x:c>
      <x:c r="G279" s="1" t="s">
        <x:v>413</x:v>
      </x:c>
      <x:c r="H279" s="1" t="s">
        <x:v>80</x:v>
      </x:c>
      <x:c r="I279" s="1">
        <x:v>10.0</x:v>
      </x:c>
      <x:c r="J279" s="1">
        <x:v>2.22</x:v>
      </x:c>
      <x:c r="K279" s="1" t="s">
        <x:v>595</x:v>
      </x:c>
      <x:c r="L279" s="1" t="s">
        <x:v>25</x:v>
      </x:c>
      <x:c r="M279" s="1">
        <x:v>22.2</x:v>
      </x:c>
      <x:c r="N279" s="1">
        <x:v>12.2</x:v>
      </x:c>
      <x:c r="O279" s="2">
        <x:f t="shared" si="3"/>
        <x:v>1.22</x:v>
      </x:c>
      <x:c r="P279" s="1" t="s">
        <x:v>26</x:v>
      </x:c>
      <x:c r="Q279" s="1" t="s">
        <x:v>187</x:v>
      </x:c>
      <x:c r="R279" s="1" t="s">
        <x:v>100</x:v>
      </x:c>
    </x:row>
    <x:row r="280" ht="15.75" customHeight="1">
      <x:c r="A280" s="10" t="s">
        <x:v>807</x:v>
      </x:c>
      <x:c r="B280" s="10" t="s">
        <x:v>808</x:v>
      </x:c>
      <x:c r="C280" s="1" t="s">
        <x:v>18</x:v>
      </x:c>
      <x:c r="D280" s="1" t="s">
        <x:v>19</x:v>
      </x:c>
      <x:c r="E280" s="1" t="s">
        <x:v>809</x:v>
      </x:c>
      <x:c r="F280" s="1" t="s">
        <x:v>78</x:v>
      </x:c>
      <x:c r="G280" s="1" t="s">
        <x:v>153</x:v>
      </x:c>
      <x:c r="H280" s="1" t="s">
        <x:v>80</x:v>
      </x:c>
      <x:c r="I280" s="1">
        <x:v>10.0</x:v>
      </x:c>
      <x:c r="J280" s="1">
        <x:v>1.21</x:v>
      </x:c>
      <x:c r="K280" s="1" t="s">
        <x:v>595</x:v>
      </x:c>
      <x:c r="L280" s="10" t="s">
        <x:v>58</x:v>
      </x:c>
      <x:c r="M280" s="1">
        <x:v>12.1</x:v>
      </x:c>
      <x:c r="N280" s="1">
        <x:v>2.1</x:v>
      </x:c>
      <x:c r="O280" s="2">
        <x:f t="shared" si="3"/>
        <x:v>0.21</x:v>
      </x:c>
      <x:c r="P280" s="1" t="s">
        <x:v>26</x:v>
      </x:c>
      <x:c r="Q280" s="1" t="s">
        <x:v>187</x:v>
      </x:c>
      <x:c r="R280" s="1" t="s">
        <x:v>70</x:v>
      </x:c>
    </x:row>
    <x:row r="281" ht="15.75" customHeight="1">
      <x:c r="A281" s="10" t="s">
        <x:v>810</x:v>
      </x:c>
      <x:c r="B281" s="10" t="s">
        <x:v>811</x:v>
      </x:c>
      <x:c r="C281" s="1" t="s">
        <x:v>18</x:v>
      </x:c>
      <x:c r="D281" s="1" t="s">
        <x:v>19</x:v>
      </x:c>
      <x:c r="E281" s="1" t="s">
        <x:v>812</x:v>
      </x:c>
      <x:c r="F281" s="1" t="s">
        <x:v>354</x:v>
      </x:c>
      <x:c r="G281" s="1" t="s">
        <x:v>813</x:v>
      </x:c>
      <x:c r="H281" s="1" t="s">
        <x:v>615</x:v>
      </x:c>
      <x:c r="I281" s="1">
        <x:v>10.0</x:v>
      </x:c>
      <x:c r="J281" s="1">
        <x:v>1.87</x:v>
      </x:c>
      <x:c r="K281" s="1" t="s">
        <x:v>595</x:v>
      </x:c>
      <x:c r="L281" s="10" t="s">
        <x:v>128</x:v>
      </x:c>
      <x:c r="M281" s="1">
        <x:v>18.7</x:v>
      </x:c>
      <x:c r="N281" s="1">
        <x:v>8.7</x:v>
      </x:c>
      <x:c r="O281" s="2">
        <x:f t="shared" si="3"/>
        <x:v>0.87</x:v>
      </x:c>
      <x:c r="P281" s="1" t="s">
        <x:v>26</x:v>
      </x:c>
      <x:c r="Q281" s="1" t="s">
        <x:v>814</x:v>
      </x:c>
      <x:c r="R281" s="1" t="s">
        <x:v>70</x:v>
      </x:c>
    </x:row>
    <x:row r="282" ht="15.75" customHeight="1">
      <x:c r="A282" s="10" t="s">
        <x:v>815</x:v>
      </x:c>
      <x:c r="B282" s="10" t="s">
        <x:v>816</x:v>
      </x:c>
      <x:c r="C282" s="1" t="s">
        <x:v>18</x:v>
      </x:c>
      <x:c r="D282" s="1" t="s">
        <x:v>19</x:v>
      </x:c>
      <x:c r="E282" s="1" t="s">
        <x:v>817</x:v>
      </x:c>
      <x:c r="F282" s="1" t="s">
        <x:v>78</x:v>
      </x:c>
      <x:c r="G282" s="1" t="s">
        <x:v>261</x:v>
      </x:c>
      <x:c r="H282" s="1" t="s">
        <x:v>104</x:v>
      </x:c>
      <x:c r="I282" s="1">
        <x:v>10.0</x:v>
      </x:c>
      <x:c r="J282" s="1">
        <x:v>1.57</x:v>
      </x:c>
      <x:c r="K282" s="1" t="s">
        <x:v>599</x:v>
      </x:c>
      <x:c r="L282" s="1" t="s">
        <x:v>25</x:v>
      </x:c>
      <x:c r="M282" s="1">
        <x:v>0.0</x:v>
      </x:c>
      <x:c r="N282" s="1">
        <x:v>-10.0</x:v>
      </x:c>
      <x:c r="O282" s="2">
        <x:f t="shared" si="3"/>
        <x:v>-1</x:v>
      </x:c>
      <x:c r="P282" s="1" t="s">
        <x:v>26</x:v>
      </x:c>
      <x:c r="Q282" s="1" t="s">
        <x:v>187</x:v>
      </x:c>
      <x:c r="R282" s="1" t="s">
        <x:v>100</x:v>
      </x:c>
    </x:row>
    <x:row r="283" ht="15.75" customHeight="1">
      <x:c r="A283" s="10" t="s">
        <x:v>818</x:v>
      </x:c>
      <x:c r="B283" s="10" t="s">
        <x:v>819</x:v>
      </x:c>
      <x:c r="C283" s="1" t="s">
        <x:v>18</x:v>
      </x:c>
      <x:c r="D283" s="1" t="s">
        <x:v>19</x:v>
      </x:c>
      <x:c r="E283" s="1" t="s">
        <x:v>820</x:v>
      </x:c>
      <x:c r="F283" s="1" t="s">
        <x:v>78</x:v>
      </x:c>
      <x:c r="G283" s="1" t="s">
        <x:v>214</x:v>
      </x:c>
      <x:c r="H283" s="1" t="s">
        <x:v>80</x:v>
      </x:c>
      <x:c r="I283" s="1">
        <x:v>10.0</x:v>
      </x:c>
      <x:c r="J283" s="1">
        <x:v>1.29</x:v>
      </x:c>
      <x:c r="K283" s="1" t="s">
        <x:v>595</x:v>
      </x:c>
      <x:c r="L283" s="1" t="s">
        <x:v>431</x:v>
      </x:c>
      <x:c r="M283" s="1">
        <x:v>12.9</x:v>
      </x:c>
      <x:c r="N283" s="1">
        <x:v>2.9</x:v>
      </x:c>
      <x:c r="O283" s="2">
        <x:f t="shared" si="3"/>
        <x:v>0.29</x:v>
      </x:c>
      <x:c r="P283" s="1" t="s">
        <x:v>26</x:v>
      </x:c>
      <x:c r="Q283" s="1" t="s">
        <x:v>187</x:v>
      </x:c>
      <x:c r="R283" s="1" t="s">
        <x:v>100</x:v>
      </x:c>
    </x:row>
    <x:row r="284" ht="15.75" customHeight="1">
      <x:c r="A284" s="10" t="s">
        <x:v>821</x:v>
      </x:c>
      <x:c r="B284" s="10" t="s">
        <x:v>822</x:v>
      </x:c>
      <x:c r="C284" s="1" t="s">
        <x:v>18</x:v>
      </x:c>
      <x:c r="D284" s="1" t="s">
        <x:v>19</x:v>
      </x:c>
      <x:c r="E284" s="1" t="s">
        <x:v>823</x:v>
      </x:c>
      <x:c r="F284" s="1" t="s">
        <x:v>78</x:v>
      </x:c>
      <x:c r="G284" s="1" t="s">
        <x:v>214</x:v>
      </x:c>
      <x:c r="H284" s="1" t="s">
        <x:v>80</x:v>
      </x:c>
      <x:c r="I284" s="1">
        <x:v>10.0</x:v>
      </x:c>
      <x:c r="J284" s="1">
        <x:v>1.72</x:v>
      </x:c>
      <x:c r="K284" s="1" t="s">
        <x:v>599</x:v>
      </x:c>
      <x:c r="L284" s="10" t="s">
        <x:v>146</x:v>
      </x:c>
      <x:c r="M284" s="1">
        <x:v>0.0</x:v>
      </x:c>
      <x:c r="N284" s="1">
        <x:v>-10.0</x:v>
      </x:c>
      <x:c r="O284" s="2">
        <x:f t="shared" si="3"/>
        <x:v>-1</x:v>
      </x:c>
      <x:c r="P284" s="1" t="s">
        <x:v>26</x:v>
      </x:c>
      <x:c r="Q284" s="1" t="s">
        <x:v>187</x:v>
      </x:c>
      <x:c r="R284" s="1" t="s">
        <x:v>100</x:v>
      </x:c>
    </x:row>
    <x:row r="285" ht="15.75" customHeight="1">
      <x:c r="A285" s="10" t="s">
        <x:v>824</x:v>
      </x:c>
      <x:c r="B285" s="10" t="s">
        <x:v>825</x:v>
      </x:c>
      <x:c r="C285" s="1" t="s">
        <x:v>18</x:v>
      </x:c>
      <x:c r="D285" s="1" t="s">
        <x:v>19</x:v>
      </x:c>
      <x:c r="E285" s="1" t="s">
        <x:v>826</x:v>
      </x:c>
      <x:c r="F285" s="1" t="s">
        <x:v>78</x:v>
      </x:c>
      <x:c r="G285" s="1" t="s">
        <x:v>103</x:v>
      </x:c>
      <x:c r="H285" s="1" t="s">
        <x:v>104</x:v>
      </x:c>
      <x:c r="I285" s="1">
        <x:v>10.0</x:v>
      </x:c>
      <x:c r="J285" s="1">
        <x:v>1.47</x:v>
      </x:c>
      <x:c r="K285" s="1" t="s">
        <x:v>595</x:v>
      </x:c>
      <x:c r="L285" s="10" t="s">
        <x:v>146</x:v>
      </x:c>
      <x:c r="M285" s="1">
        <x:v>14.7</x:v>
      </x:c>
      <x:c r="N285" s="1">
        <x:v>4.7</x:v>
      </x:c>
      <x:c r="O285" s="2">
        <x:f t="shared" si="3"/>
        <x:v>0.47</x:v>
      </x:c>
      <x:c r="P285" s="1" t="s">
        <x:v>26</x:v>
      </x:c>
      <x:c r="Q285" s="1" t="s">
        <x:v>187</x:v>
      </x:c>
      <x:c r="R285" s="1" t="s">
        <x:v>100</x:v>
      </x:c>
    </x:row>
    <x:row r="286" ht="15.75" customHeight="1">
      <x:c r="A286" s="10" t="s">
        <x:v>827</x:v>
      </x:c>
      <x:c r="B286" s="10" t="s">
        <x:v>828</x:v>
      </x:c>
      <x:c r="C286" s="1" t="s">
        <x:v>18</x:v>
      </x:c>
      <x:c r="D286" s="1" t="s">
        <x:v>19</x:v>
      </x:c>
      <x:c r="E286" s="1" t="s">
        <x:v>829</x:v>
      </x:c>
      <x:c r="F286" s="1" t="s">
        <x:v>354</x:v>
      </x:c>
      <x:c r="G286" s="1" t="s">
        <x:v>830</x:v>
      </x:c>
      <x:c r="H286" s="1" t="s">
        <x:v>831</x:v>
      </x:c>
      <x:c r="I286" s="1">
        <x:v>10.0</x:v>
      </x:c>
      <x:c r="J286" s="1">
        <x:v>1.38</x:v>
      </x:c>
      <x:c r="K286" s="1" t="s">
        <x:v>595</x:v>
      </x:c>
      <x:c r="L286" s="10" t="s">
        <x:v>58</x:v>
      </x:c>
      <x:c r="M286" s="1">
        <x:v>13.8</x:v>
      </x:c>
      <x:c r="N286" s="1">
        <x:v>3.8</x:v>
      </x:c>
      <x:c r="O286" s="2">
        <x:f t="shared" si="3"/>
        <x:v>0.38</x:v>
      </x:c>
      <x:c r="P286" s="1" t="s">
        <x:v>26</x:v>
      </x:c>
      <x:c r="Q286" s="1" t="s">
        <x:v>832</x:v>
      </x:c>
      <x:c r="R286" s="1" t="s">
        <x:v>118</x:v>
      </x:c>
    </x:row>
    <x:row r="287" ht="15.75" customHeight="1">
      <x:c r="A287" s="10" t="s">
        <x:v>833</x:v>
      </x:c>
      <x:c r="B287" s="10" t="s">
        <x:v>834</x:v>
      </x:c>
      <x:c r="C287" s="1" t="s">
        <x:v>18</x:v>
      </x:c>
      <x:c r="D287" s="1" t="s">
        <x:v>19</x:v>
      </x:c>
      <x:c r="E287" s="1" t="s">
        <x:v>835</x:v>
      </x:c>
      <x:c r="F287" s="1" t="s">
        <x:v>234</x:v>
      </x:c>
      <x:c r="G287" s="1" t="s">
        <x:v>61</x:v>
      </x:c>
      <x:c r="H287" s="1" t="s">
        <x:v>350</x:v>
      </x:c>
      <x:c r="I287" s="1">
        <x:v>10.0</x:v>
      </x:c>
      <x:c r="J287" s="1">
        <x:v>1.98</x:v>
      </x:c>
      <x:c r="K287" s="1" t="s">
        <x:v>595</x:v>
      </x:c>
      <x:c r="L287" s="10" t="s">
        <x:v>46</x:v>
      </x:c>
      <x:c r="M287" s="1">
        <x:v>19.8</x:v>
      </x:c>
      <x:c r="N287" s="1">
        <x:v>9.8</x:v>
      </x:c>
      <x:c r="O287" s="2">
        <x:f t="shared" si="3"/>
        <x:v>0.98</x:v>
      </x:c>
      <x:c r="P287" s="1" t="s">
        <x:v>26</x:v>
      </x:c>
      <x:c r="Q287" s="1" t="s">
        <x:v>187</x:v>
      </x:c>
      <x:c r="R287" s="1" t="s">
        <x:v>70</x:v>
      </x:c>
    </x:row>
    <x:row r="288" ht="15.75" customHeight="1">
      <x:c r="A288" s="10" t="s">
        <x:v>836</x:v>
      </x:c>
      <x:c r="B288" s="10" t="s">
        <x:v>834</x:v>
      </x:c>
      <x:c r="C288" s="1" t="s">
        <x:v>18</x:v>
      </x:c>
      <x:c r="D288" s="1" t="s">
        <x:v>19</x:v>
      </x:c>
      <x:c r="E288" s="1" t="s">
        <x:v>835</x:v>
      </x:c>
      <x:c r="F288" s="1" t="s">
        <x:v>354</x:v>
      </x:c>
      <x:c r="G288" s="1" t="s">
        <x:v>837</x:v>
      </x:c>
      <x:c r="H288" s="1" t="s">
        <x:v>615</x:v>
      </x:c>
      <x:c r="I288" s="1">
        <x:v>10.0</x:v>
      </x:c>
      <x:c r="J288" s="1">
        <x:v>1.57</x:v>
      </x:c>
      <x:c r="K288" s="1" t="s">
        <x:v>595</x:v>
      </x:c>
      <x:c r="L288" s="10" t="s">
        <x:v>46</x:v>
      </x:c>
      <x:c r="M288" s="1">
        <x:v>15.7</x:v>
      </x:c>
      <x:c r="N288" s="1">
        <x:v>5.7</x:v>
      </x:c>
      <x:c r="O288" s="2">
        <x:f t="shared" si="3"/>
        <x:v>0.57</x:v>
      </x:c>
      <x:c r="P288" s="1" t="s">
        <x:v>26</x:v>
      </x:c>
      <x:c r="Q288" s="1" t="s">
        <x:v>838</x:v>
      </x:c>
      <x:c r="R288" s="1" t="s">
        <x:v>70</x:v>
      </x:c>
    </x:row>
    <x:row r="289" ht="15.75" customHeight="1">
      <x:c r="A289" s="10" t="s">
        <x:v>839</x:v>
      </x:c>
      <x:c r="B289" s="10" t="s">
        <x:v>840</x:v>
      </x:c>
      <x:c r="C289" s="1" t="s">
        <x:v>18</x:v>
      </x:c>
      <x:c r="D289" s="1" t="s">
        <x:v>19</x:v>
      </x:c>
      <x:c r="E289" s="1" t="s">
        <x:v>841</x:v>
      </x:c>
      <x:c r="F289" s="1" t="s">
        <x:v>354</x:v>
      </x:c>
      <x:c r="G289" s="1" t="s">
        <x:v>842</x:v>
      </x:c>
      <x:c r="H289" s="1" t="s">
        <x:v>843</x:v>
      </x:c>
      <x:c r="I289" s="1">
        <x:v>10.0</x:v>
      </x:c>
      <x:c r="J289" s="1">
        <x:v>1.57</x:v>
      </x:c>
      <x:c r="K289" s="1" t="s">
        <x:v>595</x:v>
      </x:c>
      <x:c r="L289" s="10" t="s">
        <x:v>38</x:v>
      </x:c>
      <x:c r="M289" s="1">
        <x:v>15.7</x:v>
      </x:c>
      <x:c r="N289" s="1">
        <x:v>5.7</x:v>
      </x:c>
      <x:c r="O289" s="2">
        <x:f t="shared" si="3"/>
        <x:v>0.57</x:v>
      </x:c>
      <x:c r="P289" s="1" t="s">
        <x:v>26</x:v>
      </x:c>
      <x:c r="Q289" s="1" t="s">
        <x:v>832</x:v>
      </x:c>
      <x:c r="R289" s="1" t="s">
        <x:v>118</x:v>
      </x:c>
    </x:row>
    <x:row r="290" ht="15.75" customHeight="1">
      <x:c r="A290" s="10" t="s">
        <x:v>844</x:v>
      </x:c>
      <x:c r="B290" s="10" t="s">
        <x:v>845</x:v>
      </x:c>
      <x:c r="C290" s="1" t="s">
        <x:v>18</x:v>
      </x:c>
      <x:c r="D290" s="1" t="s">
        <x:v>19</x:v>
      </x:c>
      <x:c r="E290" s="1" t="s">
        <x:v>846</x:v>
      </x:c>
      <x:c r="F290" s="1" t="s">
        <x:v>354</x:v>
      </x:c>
      <x:c r="G290" s="1" t="s">
        <x:v>409</x:v>
      </x:c>
      <x:c r="H290" s="1" t="s">
        <x:v>393</x:v>
      </x:c>
      <x:c r="I290" s="1">
        <x:v>10.0</x:v>
      </x:c>
      <x:c r="J290" s="1">
        <x:v>1.6</x:v>
      </x:c>
      <x:c r="K290" s="1" t="s">
        <x:v>595</x:v>
      </x:c>
      <x:c r="L290" s="10" t="s">
        <x:v>44</x:v>
      </x:c>
      <x:c r="M290" s="1">
        <x:v>16.0</x:v>
      </x:c>
      <x:c r="N290" s="1">
        <x:v>6.0</x:v>
      </x:c>
      <x:c r="O290" s="2">
        <x:f t="shared" si="3"/>
        <x:v>0.6</x:v>
      </x:c>
      <x:c r="P290" s="1" t="s">
        <x:v>26</x:v>
      </x:c>
      <x:c r="Q290" s="1" t="s">
        <x:v>743</x:v>
      </x:c>
      <x:c r="R290" s="1" t="s">
        <x:v>70</x:v>
      </x:c>
    </x:row>
    <x:row r="291" ht="15.75" customHeight="1">
      <x:c r="A291" s="10" t="s">
        <x:v>847</x:v>
      </x:c>
      <x:c r="B291" s="10" t="s">
        <x:v>848</x:v>
      </x:c>
      <x:c r="C291" s="1" t="s">
        <x:v>18</x:v>
      </x:c>
      <x:c r="D291" s="1" t="s">
        <x:v>19</x:v>
      </x:c>
      <x:c r="E291" s="1" t="s">
        <x:v>846</x:v>
      </x:c>
      <x:c r="F291" s="1" t="s">
        <x:v>234</x:v>
      </x:c>
      <x:c r="G291" s="1" t="s">
        <x:v>61</x:v>
      </x:c>
      <x:c r="H291" s="1" t="s">
        <x:v>350</x:v>
      </x:c>
      <x:c r="I291" s="1">
        <x:v>10.0</x:v>
      </x:c>
      <x:c r="J291" s="1">
        <x:v>1.83</x:v>
      </x:c>
      <x:c r="K291" s="1" t="s">
        <x:v>595</x:v>
      </x:c>
      <x:c r="L291" s="10" t="s">
        <x:v>44</x:v>
      </x:c>
      <x:c r="M291" s="1">
        <x:v>18.3</x:v>
      </x:c>
      <x:c r="N291" s="1">
        <x:v>8.3</x:v>
      </x:c>
      <x:c r="O291" s="2">
        <x:f t="shared" si="3"/>
        <x:v>0.83</x:v>
      </x:c>
      <x:c r="P291" s="1" t="s">
        <x:v>26</x:v>
      </x:c>
      <x:c r="Q291" s="1" t="s">
        <x:v>187</x:v>
      </x:c>
      <x:c r="R291" s="1" t="s">
        <x:v>70</x:v>
      </x:c>
    </x:row>
    <x:row r="292" ht="15.75" customHeight="1">
      <x:c r="A292" s="10" t="s">
        <x:v>849</x:v>
      </x:c>
      <x:c r="B292" s="10" t="s">
        <x:v>850</x:v>
      </x:c>
      <x:c r="C292" s="1" t="s">
        <x:v>18</x:v>
      </x:c>
      <x:c r="D292" s="1" t="s">
        <x:v>19</x:v>
      </x:c>
      <x:c r="E292" s="1" t="s">
        <x:v>851</x:v>
      </x:c>
      <x:c r="F292" s="1" t="s">
        <x:v>354</x:v>
      </x:c>
      <x:c r="G292" s="1" t="s">
        <x:v>852</x:v>
      </x:c>
      <x:c r="H292" s="1" t="s">
        <x:v>853</x:v>
      </x:c>
      <x:c r="I292" s="1">
        <x:v>10.0</x:v>
      </x:c>
      <x:c r="J292" s="1">
        <x:v>1.65</x:v>
      </x:c>
      <x:c r="K292" s="1" t="s">
        <x:v>595</x:v>
      </x:c>
      <x:c r="L292" s="10" t="s">
        <x:v>44</x:v>
      </x:c>
      <x:c r="M292" s="1">
        <x:v>16.5</x:v>
      </x:c>
      <x:c r="N292" s="1">
        <x:v>6.5</x:v>
      </x:c>
      <x:c r="O292" s="2">
        <x:f t="shared" si="3"/>
        <x:v>0.65</x:v>
      </x:c>
      <x:c r="P292" s="1" t="s">
        <x:v>26</x:v>
      </x:c>
      <x:c r="Q292" s="1" t="s">
        <x:v>854</x:v>
      </x:c>
      <x:c r="R292" s="1" t="s">
        <x:v>70</x:v>
      </x:c>
    </x:row>
    <x:row r="293" ht="15.75" customHeight="1">
      <x:c r="A293" s="10" t="s">
        <x:v>855</x:v>
      </x:c>
      <x:c r="B293" s="10" t="s">
        <x:v>856</x:v>
      </x:c>
      <x:c r="C293" s="1" t="s">
        <x:v>18</x:v>
      </x:c>
      <x:c r="D293" s="1" t="s">
        <x:v>19</x:v>
      </x:c>
      <x:c r="E293" s="1" t="s">
        <x:v>823</x:v>
      </x:c>
      <x:c r="F293" s="1" t="s">
        <x:v>354</x:v>
      </x:c>
      <x:c r="G293" s="1" t="s">
        <x:v>775</x:v>
      </x:c>
      <x:c r="H293" s="1" t="s">
        <x:v>615</x:v>
      </x:c>
      <x:c r="I293" s="1">
        <x:v>10.0</x:v>
      </x:c>
      <x:c r="J293" s="1">
        <x:v>1.87</x:v>
      </x:c>
      <x:c r="K293" s="1" t="s">
        <x:v>599</x:v>
      </x:c>
      <x:c r="L293" s="10" t="s">
        <x:v>146</x:v>
      </x:c>
      <x:c r="M293" s="1">
        <x:v>0.0</x:v>
      </x:c>
      <x:c r="N293" s="1">
        <x:v>-10.0</x:v>
      </x:c>
      <x:c r="O293" s="2">
        <x:f t="shared" si="3"/>
        <x:v>-1</x:v>
      </x:c>
      <x:c r="P293" s="1" t="s">
        <x:v>26</x:v>
      </x:c>
      <x:c r="Q293" s="1" t="s">
        <x:v>832</x:v>
      </x:c>
      <x:c r="R293" s="1" t="s">
        <x:v>70</x:v>
      </x:c>
    </x:row>
    <x:row r="294" ht="15.75" customHeight="1">
      <x:c r="A294" s="10" t="s">
        <x:v>857</x:v>
      </x:c>
      <x:c r="B294" s="10" t="s">
        <x:v>858</x:v>
      </x:c>
      <x:c r="C294" s="1" t="s">
        <x:v>18</x:v>
      </x:c>
      <x:c r="D294" s="1" t="s">
        <x:v>19</x:v>
      </x:c>
      <x:c r="E294" s="1" t="s">
        <x:v>859</x:v>
      </x:c>
      <x:c r="F294" s="1" t="s">
        <x:v>354</x:v>
      </x:c>
      <x:c r="G294" s="1" t="s">
        <x:v>860</x:v>
      </x:c>
      <x:c r="H294" s="1" t="s">
        <x:v>861</x:v>
      </x:c>
      <x:c r="I294" s="1">
        <x:v>20.0</x:v>
      </x:c>
      <x:c r="J294" s="1">
        <x:v>2.32</x:v>
      </x:c>
      <x:c r="K294" s="1" t="s">
        <x:v>595</x:v>
      </x:c>
      <x:c r="L294" s="10" t="s">
        <x:v>128</x:v>
      </x:c>
      <x:c r="M294" s="1">
        <x:v>46.4</x:v>
      </x:c>
      <x:c r="N294" s="1">
        <x:v>26.4</x:v>
      </x:c>
      <x:c r="O294" s="2">
        <x:f t="shared" si="3"/>
        <x:v>1.32</x:v>
      </x:c>
      <x:c r="P294" s="1" t="s">
        <x:v>26</x:v>
      </x:c>
      <x:c r="Q294" s="1" t="s">
        <x:v>862</x:v>
      </x:c>
      <x:c r="R294" s="1" t="s">
        <x:v>70</x:v>
      </x:c>
    </x:row>
    <x:row r="295" ht="15.75" customHeight="1">
      <x:c r="A295" s="10" t="s">
        <x:v>863</x:v>
      </x:c>
      <x:c r="B295" s="10" t="s">
        <x:v>864</x:v>
      </x:c>
      <x:c r="C295" s="1" t="s">
        <x:v>18</x:v>
      </x:c>
      <x:c r="D295" s="1" t="s">
        <x:v>19</x:v>
      </x:c>
      <x:c r="E295" s="1" t="s">
        <x:v>865</x:v>
      </x:c>
      <x:c r="F295" s="1" t="s">
        <x:v>354</x:v>
      </x:c>
      <x:c r="G295" s="1" t="s">
        <x:v>866</x:v>
      </x:c>
      <x:c r="H295" s="1" t="s">
        <x:v>615</x:v>
      </x:c>
      <x:c r="I295" s="1">
        <x:v>10.0</x:v>
      </x:c>
      <x:c r="J295" s="1">
        <x:v>1.8</x:v>
      </x:c>
      <x:c r="K295" s="1" t="s">
        <x:v>599</x:v>
      </x:c>
      <x:c r="L295" s="1" t="s">
        <x:v>35</x:v>
      </x:c>
      <x:c r="M295" s="1">
        <x:v>0.0</x:v>
      </x:c>
      <x:c r="N295" s="1">
        <x:v>-10.0</x:v>
      </x:c>
      <x:c r="O295" s="2">
        <x:f t="shared" si="3"/>
        <x:v>-1</x:v>
      </x:c>
      <x:c r="P295" s="1" t="s">
        <x:v>26</x:v>
      </x:c>
      <x:c r="Q295" s="1" t="s">
        <x:v>832</x:v>
      </x:c>
      <x:c r="R295" s="1" t="s">
        <x:v>70</x:v>
      </x:c>
    </x:row>
    <x:row r="296" ht="15.75" customHeight="1">
      <x:c r="A296" s="10" t="s">
        <x:v>867</x:v>
      </x:c>
      <x:c r="B296" s="10" t="s">
        <x:v>868</x:v>
      </x:c>
      <x:c r="C296" s="1" t="s">
        <x:v>18</x:v>
      </x:c>
      <x:c r="D296" s="1" t="s">
        <x:v>19</x:v>
      </x:c>
      <x:c r="E296" s="1" t="s">
        <x:v>829</x:v>
      </x:c>
      <x:c r="F296" s="1" t="s">
        <x:v>354</x:v>
      </x:c>
      <x:c r="G296" s="1" t="s">
        <x:v>614</x:v>
      </x:c>
      <x:c r="H296" s="1" t="s">
        <x:v>615</x:v>
      </x:c>
      <x:c r="I296" s="1">
        <x:v>10.0</x:v>
      </x:c>
      <x:c r="J296" s="1">
        <x:v>1.65</x:v>
      </x:c>
      <x:c r="K296" s="1" t="s">
        <x:v>599</x:v>
      </x:c>
      <x:c r="L296" s="10" t="s">
        <x:v>58</x:v>
      </x:c>
      <x:c r="M296" s="1">
        <x:v>0.0</x:v>
      </x:c>
      <x:c r="N296" s="1">
        <x:v>-10.0</x:v>
      </x:c>
      <x:c r="O296" s="2">
        <x:f t="shared" si="3"/>
        <x:v>-1</x:v>
      </x:c>
      <x:c r="P296" s="1" t="s">
        <x:v>26</x:v>
      </x:c>
      <x:c r="Q296" s="1" t="s">
        <x:v>832</x:v>
      </x:c>
      <x:c r="R296" s="1" t="s">
        <x:v>70</x:v>
      </x:c>
    </x:row>
    <x:row r="297" ht="15.75" customHeight="1">
      <x:c r="A297" s="10" t="s">
        <x:v>869</x:v>
      </x:c>
      <x:c r="B297" s="10" t="s">
        <x:v>870</x:v>
      </x:c>
      <x:c r="C297" s="1" t="s">
        <x:v>18</x:v>
      </x:c>
      <x:c r="D297" s="1" t="s">
        <x:v>19</x:v>
      </x:c>
      <x:c r="E297" s="1" t="s">
        <x:v>871</x:v>
      </x:c>
      <x:c r="F297" s="1" t="s">
        <x:v>78</x:v>
      </x:c>
      <x:c r="G297" s="1" t="s">
        <x:v>318</x:v>
      </x:c>
      <x:c r="H297" s="1" t="s">
        <x:v>104</x:v>
      </x:c>
      <x:c r="I297" s="1">
        <x:v>10.0</x:v>
      </x:c>
      <x:c r="J297" s="1">
        <x:v>1.75</x:v>
      </x:c>
      <x:c r="K297" s="1" t="s">
        <x:v>599</x:v>
      </x:c>
      <x:c r="L297" s="1" t="s">
        <x:v>25</x:v>
      </x:c>
      <x:c r="M297" s="1">
        <x:v>0.0</x:v>
      </x:c>
      <x:c r="N297" s="1">
        <x:v>-10.0</x:v>
      </x:c>
      <x:c r="O297" s="2">
        <x:f t="shared" si="3"/>
        <x:v>-1</x:v>
      </x:c>
      <x:c r="P297" s="1" t="s">
        <x:v>26</x:v>
      </x:c>
      <x:c r="Q297" s="1" t="s">
        <x:v>187</x:v>
      </x:c>
      <x:c r="R297" s="1" t="s">
        <x:v>70</x:v>
      </x:c>
    </x:row>
    <x:row r="298" ht="15.75" customHeight="1">
      <x:c r="A298" s="10" t="s">
        <x:v>872</x:v>
      </x:c>
      <x:c r="B298" s="10" t="s">
        <x:v>870</x:v>
      </x:c>
      <x:c r="C298" s="1" t="s">
        <x:v>18</x:v>
      </x:c>
      <x:c r="D298" s="1" t="s">
        <x:v>19</x:v>
      </x:c>
      <x:c r="E298" s="1" t="s">
        <x:v>871</x:v>
      </x:c>
      <x:c r="F298" s="1" t="s">
        <x:v>186</x:v>
      </x:c>
      <x:c r="G298" s="1" t="s">
        <x:v>53</x:v>
      </x:c>
      <x:c r="H298" s="1" t="s">
        <x:v>23</x:v>
      </x:c>
      <x:c r="I298" s="1">
        <x:v>10.0</x:v>
      </x:c>
      <x:c r="J298" s="1">
        <x:v>1.55</x:v>
      </x:c>
      <x:c r="K298" s="1" t="s">
        <x:v>595</x:v>
      </x:c>
      <x:c r="L298" s="1" t="s">
        <x:v>25</x:v>
      </x:c>
      <x:c r="M298" s="1">
        <x:v>15.5</x:v>
      </x:c>
      <x:c r="N298" s="1">
        <x:v>5.5</x:v>
      </x:c>
      <x:c r="O298" s="2">
        <x:f t="shared" si="3"/>
        <x:v>0.55</x:v>
      </x:c>
      <x:c r="P298" s="1" t="s">
        <x:v>61</x:v>
      </x:c>
      <x:c r="Q298" s="1" t="s">
        <x:v>187</x:v>
      </x:c>
      <x:c r="R298" s="1" t="s">
        <x:v>70</x:v>
      </x:c>
    </x:row>
    <x:row r="299" ht="15.75" customHeight="1">
      <x:c r="A299" s="10" t="s">
        <x:v>873</x:v>
      </x:c>
      <x:c r="B299" s="10" t="s">
        <x:v>874</x:v>
      </x:c>
      <x:c r="C299" s="1" t="s">
        <x:v>18</x:v>
      </x:c>
      <x:c r="D299" s="1" t="s">
        <x:v>19</x:v>
      </x:c>
      <x:c r="E299" s="1" t="s">
        <x:v>875</x:v>
      </x:c>
      <x:c r="F299" s="1" t="s">
        <x:v>354</x:v>
      </x:c>
      <x:c r="G299" s="1" t="s">
        <x:v>876</x:v>
      </x:c>
      <x:c r="H299" s="1" t="s">
        <x:v>680</x:v>
      </x:c>
      <x:c r="I299" s="1">
        <x:v>10.0</x:v>
      </x:c>
      <x:c r="J299" s="1">
        <x:v>1.9</x:v>
      </x:c>
      <x:c r="K299" s="1" t="s">
        <x:v>595</x:v>
      </x:c>
      <x:c r="L299" s="1" t="s">
        <x:v>262</x:v>
      </x:c>
      <x:c r="M299" s="1">
        <x:v>19.0</x:v>
      </x:c>
      <x:c r="N299" s="1">
        <x:v>9.0</x:v>
      </x:c>
      <x:c r="O299" s="2">
        <x:f t="shared" si="3"/>
        <x:v>0.9</x:v>
      </x:c>
      <x:c r="P299" s="1" t="s">
        <x:v>26</x:v>
      </x:c>
      <x:c r="Q299" s="1" t="s">
        <x:v>877</x:v>
      </x:c>
      <x:c r="R299" s="1" t="s">
        <x:v>70</x:v>
      </x:c>
    </x:row>
    <x:row r="300" ht="15.75" customHeight="1">
      <x:c r="A300" s="10" t="s">
        <x:v>878</x:v>
      </x:c>
      <x:c r="B300" s="10" t="s">
        <x:v>879</x:v>
      </x:c>
      <x:c r="C300" s="1" t="s">
        <x:v>18</x:v>
      </x:c>
      <x:c r="D300" s="1" t="s">
        <x:v>19</x:v>
      </x:c>
      <x:c r="E300" s="1" t="s">
        <x:v>880</x:v>
      </x:c>
      <x:c r="F300" s="1" t="s">
        <x:v>21</x:v>
      </x:c>
      <x:c r="G300" s="1" t="s">
        <x:v>881</x:v>
      </x:c>
      <x:c r="H300" s="1" t="s">
        <x:v>23</x:v>
      </x:c>
      <x:c r="I300" s="1">
        <x:v>10.0</x:v>
      </x:c>
      <x:c r="J300" s="1">
        <x:v>3.8</x:v>
      </x:c>
      <x:c r="K300" s="1" t="s">
        <x:v>595</x:v>
      </x:c>
      <x:c r="L300" s="10" t="s">
        <x:v>38</x:v>
      </x:c>
      <x:c r="M300" s="1">
        <x:v>38.0</x:v>
      </x:c>
      <x:c r="N300" s="1">
        <x:v>28.0</x:v>
      </x:c>
      <x:c r="O300" s="2">
        <x:f t="shared" si="3"/>
        <x:v>2.8</x:v>
      </x:c>
      <x:c r="P300" s="1" t="s">
        <x:v>26</x:v>
      </x:c>
      <x:c r="Q300" s="1" t="s">
        <x:v>882</x:v>
      </x:c>
      <x:c r="R300" s="1" t="s">
        <x:v>70</x:v>
      </x:c>
    </x:row>
    <x:row r="301" ht="15.75" customHeight="1">
      <x:c r="A301" s="10" t="s">
        <x:v>883</x:v>
      </x:c>
      <x:c r="B301" s="10" t="s">
        <x:v>884</x:v>
      </x:c>
      <x:c r="C301" s="1" t="s">
        <x:v>18</x:v>
      </x:c>
      <x:c r="D301" s="1" t="s">
        <x:v>19</x:v>
      </x:c>
      <x:c r="E301" s="1" t="s">
        <x:v>885</x:v>
      </x:c>
      <x:c r="F301" s="1" t="s">
        <x:v>78</x:v>
      </x:c>
      <x:c r="G301" s="1" t="s">
        <x:v>346</x:v>
      </x:c>
      <x:c r="H301" s="1" t="s">
        <x:v>104</x:v>
      </x:c>
      <x:c r="I301" s="1">
        <x:v>10.0</x:v>
      </x:c>
      <x:c r="J301" s="1">
        <x:v>1.35</x:v>
      </x:c>
      <x:c r="K301" s="1" t="s">
        <x:v>595</x:v>
      </x:c>
      <x:c r="L301" s="10" t="s">
        <x:v>46</x:v>
      </x:c>
      <x:c r="M301" s="1">
        <x:v>13.5</x:v>
      </x:c>
      <x:c r="N301" s="1">
        <x:v>3.5</x:v>
      </x:c>
      <x:c r="O301" s="2">
        <x:f t="shared" si="3"/>
        <x:v>0.35</x:v>
      </x:c>
      <x:c r="P301" s="1" t="s">
        <x:v>26</x:v>
      </x:c>
      <x:c r="Q301" s="1" t="s">
        <x:v>187</x:v>
      </x:c>
      <x:c r="R301" s="1" t="s">
        <x:v>118</x:v>
      </x:c>
    </x:row>
    <x:row r="302" ht="15.75" customHeight="1">
      <x:c r="A302" s="10" t="s">
        <x:v>886</x:v>
      </x:c>
      <x:c r="B302" s="10" t="s">
        <x:v>887</x:v>
      </x:c>
      <x:c r="C302" s="1" t="s">
        <x:v>18</x:v>
      </x:c>
      <x:c r="D302" s="1" t="s">
        <x:v>19</x:v>
      </x:c>
      <x:c r="E302" s="1" t="s">
        <x:v>888</x:v>
      </x:c>
      <x:c r="F302" s="1" t="s">
        <x:v>78</x:v>
      </x:c>
      <x:c r="G302" s="1" t="s">
        <x:v>381</x:v>
      </x:c>
      <x:c r="H302" s="1" t="s">
        <x:v>104</x:v>
      </x:c>
      <x:c r="I302" s="1">
        <x:v>10.0</x:v>
      </x:c>
      <x:c r="J302" s="1">
        <x:v>2.12</x:v>
      </x:c>
      <x:c r="K302" s="1" t="s">
        <x:v>599</x:v>
      </x:c>
      <x:c r="L302" s="1" t="s">
        <x:v>35</x:v>
      </x:c>
      <x:c r="M302" s="1">
        <x:v>0.0</x:v>
      </x:c>
      <x:c r="N302" s="1">
        <x:v>-10.0</x:v>
      </x:c>
      <x:c r="O302" s="2">
        <x:f t="shared" si="3"/>
        <x:v>-1</x:v>
      </x:c>
      <x:c r="P302" s="1" t="s">
        <x:v>26</x:v>
      </x:c>
      <x:c r="Q302" s="1" t="s">
        <x:v>187</x:v>
      </x:c>
      <x:c r="R302" s="1" t="s">
        <x:v>118</x:v>
      </x:c>
    </x:row>
    <x:row r="303" ht="15.75" customHeight="1">
      <x:c r="A303" s="10" t="s">
        <x:v>889</x:v>
      </x:c>
      <x:c r="B303" s="10" t="s">
        <x:v>890</x:v>
      </x:c>
      <x:c r="C303" s="1" t="s">
        <x:v>18</x:v>
      </x:c>
      <x:c r="D303" s="1" t="s">
        <x:v>19</x:v>
      </x:c>
      <x:c r="E303" s="1" t="s">
        <x:v>891</x:v>
      </x:c>
      <x:c r="F303" s="1" t="s">
        <x:v>78</x:v>
      </x:c>
      <x:c r="G303" s="1" t="s">
        <x:v>318</x:v>
      </x:c>
      <x:c r="H303" s="1" t="s">
        <x:v>104</x:v>
      </x:c>
      <x:c r="I303" s="1">
        <x:v>10.0</x:v>
      </x:c>
      <x:c r="J303" s="1">
        <x:v>1.28</x:v>
      </x:c>
      <x:c r="K303" s="1" t="s">
        <x:v>595</x:v>
      </x:c>
      <x:c r="L303" s="10" t="s">
        <x:v>38</x:v>
      </x:c>
      <x:c r="M303" s="1">
        <x:v>12.8</x:v>
      </x:c>
      <x:c r="N303" s="1">
        <x:v>2.8</x:v>
      </x:c>
      <x:c r="O303" s="2">
        <x:f t="shared" si="3"/>
        <x:v>0.28</x:v>
      </x:c>
      <x:c r="P303" s="1" t="s">
        <x:v>26</x:v>
      </x:c>
      <x:c r="Q303" s="1" t="s">
        <x:v>187</x:v>
      </x:c>
      <x:c r="R303" s="1" t="s">
        <x:v>118</x:v>
      </x:c>
    </x:row>
    <x:row r="304" ht="15.75" customHeight="1">
      <x:c r="A304" s="10" t="s">
        <x:v>892</x:v>
      </x:c>
      <x:c r="B304" s="10" t="s">
        <x:v>893</x:v>
      </x:c>
      <x:c r="C304" s="1" t="s">
        <x:v>18</x:v>
      </x:c>
      <x:c r="D304" s="1" t="s">
        <x:v>19</x:v>
      </x:c>
      <x:c r="E304" s="1" t="s">
        <x:v>894</x:v>
      </x:c>
      <x:c r="F304" s="1" t="s">
        <x:v>354</x:v>
      </x:c>
      <x:c r="G304" s="1" t="s">
        <x:v>895</x:v>
      </x:c>
      <x:c r="H304" s="1" t="s">
        <x:v>896</x:v>
      </x:c>
      <x:c r="I304" s="1">
        <x:v>10.0</x:v>
      </x:c>
      <x:c r="J304" s="1">
        <x:v>1.55</x:v>
      </x:c>
      <x:c r="K304" s="1" t="s">
        <x:v>595</x:v>
      </x:c>
      <x:c r="L304" s="1" t="s">
        <x:v>897</x:v>
      </x:c>
      <x:c r="M304" s="1">
        <x:v>15.5</x:v>
      </x:c>
      <x:c r="N304" s="1">
        <x:v>5.5</x:v>
      </x:c>
      <x:c r="O304" s="2">
        <x:f t="shared" si="3"/>
        <x:v>0.55</x:v>
      </x:c>
      <x:c r="P304" s="1" t="s">
        <x:v>26</x:v>
      </x:c>
      <x:c r="Q304" s="1" t="s">
        <x:v>426</x:v>
      </x:c>
      <x:c r="R304" s="1" t="s">
        <x:v>70</x:v>
      </x:c>
    </x:row>
    <x:row r="305" ht="15.75" customHeight="1">
      <x:c r="A305" s="10" t="s">
        <x:v>898</x:v>
      </x:c>
      <x:c r="B305" s="10" t="s">
        <x:v>899</x:v>
      </x:c>
      <x:c r="C305" s="1" t="s">
        <x:v>18</x:v>
      </x:c>
      <x:c r="D305" s="1" t="s">
        <x:v>19</x:v>
      </x:c>
      <x:c r="E305" s="1" t="s">
        <x:v>894</x:v>
      </x:c>
      <x:c r="F305" s="1" t="s">
        <x:v>78</x:v>
      </x:c>
      <x:c r="G305" s="1" t="s">
        <x:v>346</x:v>
      </x:c>
      <x:c r="H305" s="1" t="s">
        <x:v>104</x:v>
      </x:c>
      <x:c r="I305" s="1">
        <x:v>10.0</x:v>
      </x:c>
      <x:c r="J305" s="1">
        <x:v>1.93</x:v>
      </x:c>
      <x:c r="K305" s="1" t="s">
        <x:v>595</x:v>
      </x:c>
      <x:c r="L305" s="1" t="s">
        <x:v>897</x:v>
      </x:c>
      <x:c r="M305" s="1">
        <x:v>19.3</x:v>
      </x:c>
      <x:c r="N305" s="1">
        <x:v>9.3</x:v>
      </x:c>
      <x:c r="O305" s="2">
        <x:f t="shared" si="3"/>
        <x:v>0.93</x:v>
      </x:c>
      <x:c r="P305" s="1" t="s">
        <x:v>26</x:v>
      </x:c>
      <x:c r="Q305" s="1" t="s">
        <x:v>187</x:v>
      </x:c>
      <x:c r="R305" s="1" t="s">
        <x:v>70</x:v>
      </x:c>
    </x:row>
    <x:row r="306" ht="15.75" customHeight="1">
      <x:c r="A306" s="10" t="s">
        <x:v>900</x:v>
      </x:c>
      <x:c r="B306" s="10" t="s">
        <x:v>901</x:v>
      </x:c>
      <x:c r="C306" s="1" t="s">
        <x:v>18</x:v>
      </x:c>
      <x:c r="D306" s="1" t="s">
        <x:v>19</x:v>
      </x:c>
      <x:c r="E306" s="1" t="s">
        <x:v>902</x:v>
      </x:c>
      <x:c r="F306" s="1" t="s">
        <x:v>234</x:v>
      </x:c>
      <x:c r="G306" s="1" t="s">
        <x:v>61</x:v>
      </x:c>
      <x:c r="H306" s="1" t="s">
        <x:v>350</x:v>
      </x:c>
      <x:c r="I306" s="1">
        <x:v>10.0</x:v>
      </x:c>
      <x:c r="J306" s="1">
        <x:v>2.07</x:v>
      </x:c>
      <x:c r="K306" s="1" t="s">
        <x:v>595</x:v>
      </x:c>
      <x:c r="L306" s="10" t="s">
        <x:v>58</x:v>
      </x:c>
      <x:c r="M306" s="1">
        <x:v>20.7</x:v>
      </x:c>
      <x:c r="N306" s="1">
        <x:v>10.7</x:v>
      </x:c>
      <x:c r="O306" s="2">
        <x:f t="shared" si="3"/>
        <x:v>1.07</x:v>
      </x:c>
      <x:c r="P306" s="1" t="s">
        <x:v>26</x:v>
      </x:c>
      <x:c r="Q306" s="1" t="s">
        <x:v>187</x:v>
      </x:c>
      <x:c r="R306" s="1" t="s">
        <x:v>70</x:v>
      </x:c>
    </x:row>
    <x:row r="307" ht="15.75" customHeight="1">
      <x:c r="A307" s="10" t="s">
        <x:v>903</x:v>
      </x:c>
      <x:c r="B307" s="10" t="s">
        <x:v>901</x:v>
      </x:c>
      <x:c r="C307" s="1" t="s">
        <x:v>18</x:v>
      </x:c>
      <x:c r="D307" s="1" t="s">
        <x:v>19</x:v>
      </x:c>
      <x:c r="E307" s="1" t="s">
        <x:v>902</x:v>
      </x:c>
      <x:c r="F307" s="1" t="s">
        <x:v>78</x:v>
      </x:c>
      <x:c r="G307" s="1" t="s">
        <x:v>261</x:v>
      </x:c>
      <x:c r="H307" s="1" t="s">
        <x:v>104</x:v>
      </x:c>
      <x:c r="I307" s="1">
        <x:v>10.0</x:v>
      </x:c>
      <x:c r="J307" s="1">
        <x:v>1.5</x:v>
      </x:c>
      <x:c r="K307" s="1" t="s">
        <x:v>595</x:v>
      </x:c>
      <x:c r="L307" s="10" t="s">
        <x:v>58</x:v>
      </x:c>
      <x:c r="M307" s="1">
        <x:v>15.0</x:v>
      </x:c>
      <x:c r="N307" s="1">
        <x:v>5.0</x:v>
      </x:c>
      <x:c r="O307" s="2">
        <x:f t="shared" si="3"/>
        <x:v>0.5</x:v>
      </x:c>
      <x:c r="P307" s="1" t="s">
        <x:v>26</x:v>
      </x:c>
      <x:c r="Q307" s="1" t="s">
        <x:v>187</x:v>
      </x:c>
      <x:c r="R307" s="1" t="s">
        <x:v>70</x:v>
      </x:c>
    </x:row>
    <x:row r="308" ht="15.75" customHeight="1">
      <x:c r="A308" s="10" t="s">
        <x:v>904</x:v>
      </x:c>
      <x:c r="B308" s="10" t="s">
        <x:v>905</x:v>
      </x:c>
      <x:c r="C308" s="1" t="s">
        <x:v>906</x:v>
      </x:c>
      <x:c r="D308" s="1" t="s">
        <x:v>19</x:v>
      </x:c>
      <x:c r="E308" s="1" t="s">
        <x:v>907</x:v>
      </x:c>
      <x:c r="F308" s="1" t="s">
        <x:v>78</x:v>
      </x:c>
      <x:c r="G308" s="1" t="s">
        <x:v>413</x:v>
      </x:c>
      <x:c r="H308" s="1" t="s">
        <x:v>80</x:v>
      </x:c>
      <x:c r="I308" s="1">
        <x:v>17.0</x:v>
      </x:c>
      <x:c r="J308" s="1">
        <x:v>1.4</x:v>
      </x:c>
      <x:c r="K308" s="1" t="s">
        <x:v>595</x:v>
      </x:c>
      <x:c r="L308" s="1" t="s">
        <x:v>29</x:v>
      </x:c>
      <x:c r="M308" s="1">
        <x:v>23.8</x:v>
      </x:c>
      <x:c r="N308" s="1">
        <x:v>6.8</x:v>
      </x:c>
      <x:c r="O308" s="2">
        <x:f t="shared" si="3"/>
        <x:v>0.4</x:v>
      </x:c>
      <x:c r="P308" s="1" t="s">
        <x:v>26</x:v>
      </x:c>
      <x:c r="Q308" s="1" t="s">
        <x:v>187</x:v>
      </x:c>
      <x:c r="R308" s="1" t="s">
        <x:v>100</x:v>
      </x:c>
    </x:row>
    <x:row r="309" ht="15.75" customHeight="1">
      <x:c r="A309" s="10" t="s">
        <x:v>908</x:v>
      </x:c>
      <x:c r="B309" s="10" t="s">
        <x:v>909</x:v>
      </x:c>
      <x:c r="C309" s="1" t="s">
        <x:v>906</x:v>
      </x:c>
      <x:c r="D309" s="1" t="s">
        <x:v>19</x:v>
      </x:c>
      <x:c r="E309" s="1" t="s">
        <x:v>910</x:v>
      </x:c>
      <x:c r="F309" s="1" t="s">
        <x:v>802</x:v>
      </x:c>
      <x:c r="G309" s="1" t="s">
        <x:v>911</x:v>
      </x:c>
      <x:c r="H309" s="1" t="s">
        <x:v>912</x:v>
      </x:c>
      <x:c r="I309" s="1">
        <x:v>10.0</x:v>
      </x:c>
      <x:c r="J309" s="1">
        <x:v>1.37</x:v>
      </x:c>
      <x:c r="K309" s="1" t="s">
        <x:v>595</x:v>
      </x:c>
      <x:c r="L309" s="1" t="s">
        <x:v>35</x:v>
      </x:c>
      <x:c r="M309" s="1">
        <x:v>13.7</x:v>
      </x:c>
      <x:c r="N309" s="1">
        <x:v>3.7</x:v>
      </x:c>
      <x:c r="O309" s="2">
        <x:f t="shared" si="3"/>
        <x:v>0.37</x:v>
      </x:c>
      <x:c r="P309" s="1" t="s">
        <x:v>26</x:v>
      </x:c>
      <x:c r="Q309" s="1" t="s">
        <x:v>187</x:v>
      </x:c>
      <x:c r="R309" s="1" t="s">
        <x:v>100</x:v>
      </x:c>
    </x:row>
    <x:row r="310" ht="15.75" customHeight="1">
      <x:c r="A310" s="10" t="s">
        <x:v>913</x:v>
      </x:c>
      <x:c r="B310" s="10" t="s">
        <x:v>914</x:v>
      </x:c>
      <x:c r="C310" s="1" t="s">
        <x:v>906</x:v>
      </x:c>
      <x:c r="D310" s="1" t="s">
        <x:v>19</x:v>
      </x:c>
      <x:c r="E310" s="1" t="s">
        <x:v>915</x:v>
      </x:c>
      <x:c r="F310" s="1" t="s">
        <x:v>354</x:v>
      </x:c>
      <x:c r="G310" s="1" t="s">
        <x:v>916</x:v>
      </x:c>
      <x:c r="H310" s="1" t="s">
        <x:v>917</x:v>
      </x:c>
      <x:c r="I310" s="1">
        <x:v>10.0</x:v>
      </x:c>
      <x:c r="J310" s="1">
        <x:v>1.55</x:v>
      </x:c>
      <x:c r="K310" s="1" t="s">
        <x:v>595</x:v>
      </x:c>
      <x:c r="L310" s="10" t="s">
        <x:v>58</x:v>
      </x:c>
      <x:c r="M310" s="1">
        <x:v>15.5</x:v>
      </x:c>
      <x:c r="N310" s="1">
        <x:v>5.5</x:v>
      </x:c>
      <x:c r="O310" s="2">
        <x:f t="shared" si="3"/>
        <x:v>0.55</x:v>
      </x:c>
      <x:c r="P310" s="1" t="s">
        <x:v>26</x:v>
      </x:c>
      <x:c r="Q310" s="1" t="s">
        <x:v>832</x:v>
      </x:c>
      <x:c r="R310" s="1" t="s">
        <x:v>100</x:v>
      </x:c>
    </x:row>
    <x:row r="311" ht="15.75" customHeight="1">
      <x:c r="A311" s="10" t="s">
        <x:v>918</x:v>
      </x:c>
      <x:c r="B311" s="10" t="s">
        <x:v>919</x:v>
      </x:c>
      <x:c r="C311" s="1" t="s">
        <x:v>906</x:v>
      </x:c>
      <x:c r="D311" s="1" t="s">
        <x:v>19</x:v>
      </x:c>
      <x:c r="E311" s="1" t="s">
        <x:v>920</x:v>
      </x:c>
      <x:c r="F311" s="1" t="s">
        <x:v>78</x:v>
      </x:c>
      <x:c r="G311" s="1" t="s">
        <x:v>153</x:v>
      </x:c>
      <x:c r="H311" s="1" t="s">
        <x:v>80</x:v>
      </x:c>
      <x:c r="I311" s="1">
        <x:v>10.0</x:v>
      </x:c>
      <x:c r="J311" s="1">
        <x:v>1.35</x:v>
      </x:c>
      <x:c r="K311" s="1" t="s">
        <x:v>595</x:v>
      </x:c>
      <x:c r="L311" s="1" t="s">
        <x:v>64</x:v>
      </x:c>
      <x:c r="M311" s="1">
        <x:v>13.5</x:v>
      </x:c>
      <x:c r="N311" s="1">
        <x:v>3.5</x:v>
      </x:c>
      <x:c r="O311" s="2">
        <x:f t="shared" si="3"/>
        <x:v>0.35</x:v>
      </x:c>
      <x:c r="P311" s="1" t="s">
        <x:v>26</x:v>
      </x:c>
      <x:c r="Q311" s="1" t="s">
        <x:v>187</x:v>
      </x:c>
      <x:c r="R311" s="1" t="s">
        <x:v>100</x:v>
      </x:c>
    </x:row>
    <x:row r="312" ht="15.75" customHeight="1">
      <x:c r="A312" s="10" t="s">
        <x:v>921</x:v>
      </x:c>
      <x:c r="B312" s="10" t="s">
        <x:v>922</x:v>
      </x:c>
      <x:c r="C312" s="1" t="s">
        <x:v>906</x:v>
      </x:c>
      <x:c r="D312" s="1" t="s">
        <x:v>19</x:v>
      </x:c>
      <x:c r="E312" s="1" t="s">
        <x:v>923</x:v>
      </x:c>
      <x:c r="F312" s="1" t="s">
        <x:v>354</x:v>
      </x:c>
      <x:c r="G312" s="1" t="s">
        <x:v>924</x:v>
      </x:c>
      <x:c r="H312" s="1" t="s">
        <x:v>853</x:v>
      </x:c>
      <x:c r="I312" s="1">
        <x:v>10.0</x:v>
      </x:c>
      <x:c r="J312" s="1">
        <x:v>1.9</x:v>
      </x:c>
      <x:c r="K312" s="1" t="s">
        <x:v>599</x:v>
      </x:c>
      <x:c r="L312" s="1" t="s">
        <x:v>29</x:v>
      </x:c>
      <x:c r="M312" s="1">
        <x:v>0.0</x:v>
      </x:c>
      <x:c r="N312" s="1">
        <x:v>-10.0</x:v>
      </x:c>
      <x:c r="O312" s="2">
        <x:f t="shared" si="3"/>
        <x:v>-1</x:v>
      </x:c>
      <x:c r="P312" s="1" t="s">
        <x:v>26</x:v>
      </x:c>
      <x:c r="Q312" s="1" t="s">
        <x:v>832</x:v>
      </x:c>
      <x:c r="R312" s="1" t="s">
        <x:v>70</x:v>
      </x:c>
    </x:row>
    <x:row r="313" ht="15.75" customHeight="1">
      <x:c r="A313" s="10" t="s">
        <x:v>925</x:v>
      </x:c>
      <x:c r="B313" s="10" t="s">
        <x:v>926</x:v>
      </x:c>
      <x:c r="C313" s="1" t="s">
        <x:v>906</x:v>
      </x:c>
      <x:c r="D313" s="1" t="s">
        <x:v>19</x:v>
      </x:c>
      <x:c r="E313" s="1" t="s">
        <x:v>923</x:v>
      </x:c>
      <x:c r="F313" s="1" t="s">
        <x:v>234</x:v>
      </x:c>
      <x:c r="G313" s="1" t="s">
        <x:v>26</x:v>
      </x:c>
      <x:c r="H313" s="1" t="s">
        <x:v>235</x:v>
      </x:c>
      <x:c r="I313" s="1">
        <x:v>10.0</x:v>
      </x:c>
      <x:c r="J313" s="1">
        <x:v>1.72</x:v>
      </x:c>
      <x:c r="K313" s="1" t="s">
        <x:v>595</x:v>
      </x:c>
      <x:c r="L313" s="1" t="s">
        <x:v>29</x:v>
      </x:c>
      <x:c r="M313" s="1">
        <x:v>17.2</x:v>
      </x:c>
      <x:c r="N313" s="1">
        <x:v>7.2</x:v>
      </x:c>
      <x:c r="O313" s="2">
        <x:f t="shared" si="3"/>
        <x:v>0.72</x:v>
      </x:c>
      <x:c r="P313" s="1" t="s">
        <x:v>26</x:v>
      </x:c>
      <x:c r="Q313" s="1" t="s">
        <x:v>187</x:v>
      </x:c>
      <x:c r="R313" s="1" t="s">
        <x:v>70</x:v>
      </x:c>
    </x:row>
    <x:row r="314" ht="15.75" customHeight="1">
      <x:c r="A314" s="10" t="s">
        <x:v>927</x:v>
      </x:c>
      <x:c r="B314" s="10" t="s">
        <x:v>928</x:v>
      </x:c>
      <x:c r="C314" s="1" t="s">
        <x:v>906</x:v>
      </x:c>
      <x:c r="D314" s="1" t="s">
        <x:v>19</x:v>
      </x:c>
      <x:c r="E314" s="1" t="s">
        <x:v>907</x:v>
      </x:c>
      <x:c r="F314" s="1" t="s">
        <x:v>354</x:v>
      </x:c>
      <x:c r="G314" s="1" t="s">
        <x:v>929</x:v>
      </x:c>
      <x:c r="H314" s="1" t="s">
        <x:v>896</x:v>
      </x:c>
      <x:c r="I314" s="1">
        <x:v>10.0</x:v>
      </x:c>
      <x:c r="J314" s="1">
        <x:v>2.02</x:v>
      </x:c>
      <x:c r="K314" s="1" t="s">
        <x:v>599</x:v>
      </x:c>
      <x:c r="L314" s="1" t="s">
        <x:v>29</x:v>
      </x:c>
      <x:c r="M314" s="1">
        <x:v>3.8</x:v>
      </x:c>
      <x:c r="N314" s="1">
        <x:v>-6.2</x:v>
      </x:c>
      <x:c r="O314" s="2">
        <x:f t="shared" si="3"/>
        <x:v>-0.62</x:v>
      </x:c>
      <x:c r="P314" s="1" t="s">
        <x:v>26</x:v>
      </x:c>
      <x:c r="Q314" s="1" t="s">
        <x:v>930</x:v>
      </x:c>
      <x:c r="R314" s="1" t="s">
        <x:v>70</x:v>
      </x:c>
    </x:row>
    <x:row r="315" ht="15.75" customHeight="1">
      <x:c r="A315" s="10" t="s">
        <x:v>931</x:v>
      </x:c>
      <x:c r="B315" s="10" t="s">
        <x:v>932</x:v>
      </x:c>
      <x:c r="C315" s="1" t="s">
        <x:v>906</x:v>
      </x:c>
      <x:c r="D315" s="1" t="s">
        <x:v>19</x:v>
      </x:c>
      <x:c r="E315" s="1" t="s">
        <x:v>193</x:v>
      </x:c>
      <x:c r="F315" s="1" t="s">
        <x:v>234</x:v>
      </x:c>
      <x:c r="G315" s="1" t="s">
        <x:v>61</x:v>
      </x:c>
      <x:c r="H315" s="1" t="s">
        <x:v>350</x:v>
      </x:c>
      <x:c r="I315" s="1">
        <x:v>10.0</x:v>
      </x:c>
      <x:c r="J315" s="1">
        <x:v>1.88</x:v>
      </x:c>
      <x:c r="K315" s="1" t="s">
        <x:v>599</x:v>
      </x:c>
      <x:c r="L315" s="1" t="s">
        <x:v>64</x:v>
      </x:c>
      <x:c r="M315" s="1">
        <x:v>0.0</x:v>
      </x:c>
      <x:c r="N315" s="1">
        <x:v>-10.0</x:v>
      </x:c>
      <x:c r="O315" s="2">
        <x:f t="shared" si="3"/>
        <x:v>-1</x:v>
      </x:c>
      <x:c r="P315" s="1" t="s">
        <x:v>26</x:v>
      </x:c>
      <x:c r="Q315" s="1" t="s">
        <x:v>187</x:v>
      </x:c>
      <x:c r="R315" s="1" t="s">
        <x:v>70</x:v>
      </x:c>
    </x:row>
    <x:row r="316" ht="15.75" customHeight="1">
      <x:c r="A316" s="10" t="s">
        <x:v>933</x:v>
      </x:c>
      <x:c r="B316" s="10" t="s">
        <x:v>934</x:v>
      </x:c>
      <x:c r="C316" s="1" t="s">
        <x:v>906</x:v>
      </x:c>
      <x:c r="D316" s="1" t="s">
        <x:v>19</x:v>
      </x:c>
      <x:c r="E316" s="1" t="s">
        <x:v>935</x:v>
      </x:c>
      <x:c r="F316" s="1" t="s">
        <x:v>354</x:v>
      </x:c>
      <x:c r="G316" s="1" t="s">
        <x:v>852</x:v>
      </x:c>
      <x:c r="H316" s="1" t="s">
        <x:v>853</x:v>
      </x:c>
      <x:c r="I316" s="1">
        <x:v>10.0</x:v>
      </x:c>
      <x:c r="J316" s="1">
        <x:v>1.6</x:v>
      </x:c>
      <x:c r="K316" s="1" t="s">
        <x:v>599</x:v>
      </x:c>
      <x:c r="L316" s="10" t="s">
        <x:v>58</x:v>
      </x:c>
      <x:c r="M316" s="1">
        <x:v>0.0</x:v>
      </x:c>
      <x:c r="N316" s="1">
        <x:v>-10.0</x:v>
      </x:c>
      <x:c r="O316" s="2">
        <x:f t="shared" si="3"/>
        <x:v>-1</x:v>
      </x:c>
      <x:c r="P316" s="1" t="s">
        <x:v>26</x:v>
      </x:c>
      <x:c r="Q316" s="1" t="s">
        <x:v>832</x:v>
      </x:c>
      <x:c r="R316" s="1" t="s">
        <x:v>70</x:v>
      </x:c>
    </x:row>
    <x:row r="317" ht="15.75" customHeight="1">
      <x:c r="A317" s="10" t="s">
        <x:v>936</x:v>
      </x:c>
      <x:c r="B317" s="10" t="s">
        <x:v>937</x:v>
      </x:c>
      <x:c r="C317" s="1" t="s">
        <x:v>906</x:v>
      </x:c>
      <x:c r="D317" s="1" t="s">
        <x:v>19</x:v>
      </x:c>
      <x:c r="E317" s="1" t="s">
        <x:v>938</x:v>
      </x:c>
      <x:c r="F317" s="1" t="s">
        <x:v>354</x:v>
      </x:c>
      <x:c r="G317" s="1" t="s">
        <x:v>939</x:v>
      </x:c>
      <x:c r="H317" s="1" t="s">
        <x:v>853</x:v>
      </x:c>
      <x:c r="I317" s="1">
        <x:v>10.0</x:v>
      </x:c>
      <x:c r="J317" s="1">
        <x:v>1.7</x:v>
      </x:c>
      <x:c r="K317" s="1" t="s">
        <x:v>595</x:v>
      </x:c>
      <x:c r="L317" s="1" t="s">
        <x:v>29</x:v>
      </x:c>
      <x:c r="M317" s="1">
        <x:v>17.0</x:v>
      </x:c>
      <x:c r="N317" s="1">
        <x:v>7.0</x:v>
      </x:c>
      <x:c r="O317" s="2">
        <x:f t="shared" si="3"/>
        <x:v>0.7</x:v>
      </x:c>
      <x:c r="P317" s="1" t="s">
        <x:v>26</x:v>
      </x:c>
      <x:c r="Q317" s="1" t="s">
        <x:v>832</x:v>
      </x:c>
      <x:c r="R317" s="1" t="s">
        <x:v>70</x:v>
      </x:c>
    </x:row>
    <x:row r="318" ht="15.75" customHeight="1">
      <x:c r="A318" s="10" t="s">
        <x:v>940</x:v>
      </x:c>
      <x:c r="B318" s="10" t="s">
        <x:v>941</x:v>
      </x:c>
      <x:c r="C318" s="1" t="s">
        <x:v>906</x:v>
      </x:c>
      <x:c r="D318" s="1" t="s">
        <x:v>19</x:v>
      </x:c>
      <x:c r="E318" s="1" t="s">
        <x:v>942</x:v>
      </x:c>
      <x:c r="F318" s="1" t="s">
        <x:v>354</x:v>
      </x:c>
      <x:c r="G318" s="1" t="s">
        <x:v>943</x:v>
      </x:c>
      <x:c r="H318" s="1" t="s">
        <x:v>944</x:v>
      </x:c>
      <x:c r="I318" s="1">
        <x:v>10.0</x:v>
      </x:c>
      <x:c r="J318" s="1">
        <x:v>2.02</x:v>
      </x:c>
      <x:c r="K318" s="1" t="s">
        <x:v>595</x:v>
      </x:c>
      <x:c r="L318" s="1" t="s">
        <x:v>35</x:v>
      </x:c>
      <x:c r="M318" s="1">
        <x:v>20.2</x:v>
      </x:c>
      <x:c r="N318" s="1">
        <x:v>10.2</x:v>
      </x:c>
      <x:c r="O318" s="2">
        <x:f t="shared" si="3"/>
        <x:v>1.02</x:v>
      </x:c>
      <x:c r="P318" s="1" t="s">
        <x:v>26</x:v>
      </x:c>
      <x:c r="Q318" s="1" t="s">
        <x:v>832</x:v>
      </x:c>
      <x:c r="R318" s="1" t="s">
        <x:v>70</x:v>
      </x:c>
    </x:row>
    <x:row r="319" ht="15.75" customHeight="1">
      <x:c r="A319" s="10" t="s">
        <x:v>945</x:v>
      </x:c>
      <x:c r="B319" s="10" t="s">
        <x:v>946</x:v>
      </x:c>
      <x:c r="C319" s="1" t="s">
        <x:v>906</x:v>
      </x:c>
      <x:c r="D319" s="1" t="s">
        <x:v>19</x:v>
      </x:c>
      <x:c r="E319" s="1" t="s">
        <x:v>947</x:v>
      </x:c>
      <x:c r="F319" s="1" t="s">
        <x:v>354</x:v>
      </x:c>
      <x:c r="G319" s="1" t="s">
        <x:v>948</x:v>
      </x:c>
      <x:c r="H319" s="1" t="s">
        <x:v>949</x:v>
      </x:c>
      <x:c r="I319" s="1">
        <x:v>10.0</x:v>
      </x:c>
      <x:c r="J319" s="1">
        <x:v>1.67</x:v>
      </x:c>
      <x:c r="K319" s="1" t="s">
        <x:v>595</x:v>
      </x:c>
      <x:c r="L319" s="10" t="s">
        <x:v>128</x:v>
      </x:c>
      <x:c r="M319" s="1">
        <x:v>16.7</x:v>
      </x:c>
      <x:c r="N319" s="1">
        <x:v>6.7</x:v>
      </x:c>
      <x:c r="O319" s="2">
        <x:f t="shared" si="3"/>
        <x:v>0.67</x:v>
      </x:c>
      <x:c r="P319" s="1" t="s">
        <x:v>26</x:v>
      </x:c>
      <x:c r="Q319" s="1" t="s">
        <x:v>832</x:v>
      </x:c>
      <x:c r="R319" s="1" t="s">
        <x:v>70</x:v>
      </x:c>
    </x:row>
    <x:row r="320" ht="15.75" customHeight="1">
      <x:c r="A320" s="10" t="s">
        <x:v>950</x:v>
      </x:c>
      <x:c r="B320" s="10" t="s">
        <x:v>951</x:v>
      </x:c>
      <x:c r="C320" s="1" t="s">
        <x:v>906</x:v>
      </x:c>
      <x:c r="D320" s="1" t="s">
        <x:v>19</x:v>
      </x:c>
      <x:c r="E320" s="1" t="s">
        <x:v>952</x:v>
      </x:c>
      <x:c r="F320" s="1" t="s">
        <x:v>354</x:v>
      </x:c>
      <x:c r="G320" s="1" t="s">
        <x:v>953</x:v>
      </x:c>
      <x:c r="H320" s="1" t="s">
        <x:v>954</x:v>
      </x:c>
      <x:c r="I320" s="1">
        <x:v>10.0</x:v>
      </x:c>
      <x:c r="J320" s="1">
        <x:v>2.07</x:v>
      </x:c>
      <x:c r="K320" s="1" t="s">
        <x:v>599</x:v>
      </x:c>
      <x:c r="L320" s="1" t="s">
        <x:v>75</x:v>
      </x:c>
      <x:c r="M320" s="1">
        <x:v>0.0</x:v>
      </x:c>
      <x:c r="N320" s="1">
        <x:v>-10.0</x:v>
      </x:c>
      <x:c r="O320" s="2">
        <x:f t="shared" si="3"/>
        <x:v>-1</x:v>
      </x:c>
      <x:c r="P320" s="1" t="s">
        <x:v>26</x:v>
      </x:c>
      <x:c r="Q320" s="1" t="s">
        <x:v>832</x:v>
      </x:c>
      <x:c r="R320" s="1" t="s">
        <x:v>70</x:v>
      </x:c>
    </x:row>
    <x:row r="321" ht="15.75" customHeight="1">
      <x:c r="A321" s="10" t="s">
        <x:v>955</x:v>
      </x:c>
      <x:c r="B321" s="10" t="s">
        <x:v>956</x:v>
      </x:c>
      <x:c r="C321" s="1" t="s">
        <x:v>906</x:v>
      </x:c>
      <x:c r="D321" s="1" t="s">
        <x:v>19</x:v>
      </x:c>
      <x:c r="E321" s="1" t="s">
        <x:v>952</x:v>
      </x:c>
      <x:c r="F321" s="1" t="s">
        <x:v>354</x:v>
      </x:c>
      <x:c r="G321" s="1" t="s">
        <x:v>957</x:v>
      </x:c>
      <x:c r="H321" s="1" t="s">
        <x:v>958</x:v>
      </x:c>
      <x:c r="I321" s="1">
        <x:v>10.0</x:v>
      </x:c>
      <x:c r="J321" s="1">
        <x:v>1.6</x:v>
      </x:c>
      <x:c r="K321" s="1" t="s">
        <x:v>599</x:v>
      </x:c>
      <x:c r="L321" s="1" t="s">
        <x:v>75</x:v>
      </x:c>
      <x:c r="M321" s="1">
        <x:v>0.0</x:v>
      </x:c>
      <x:c r="N321" s="1">
        <x:v>-10.0</x:v>
      </x:c>
      <x:c r="O321" s="2">
        <x:f t="shared" si="3"/>
        <x:v>-1</x:v>
      </x:c>
      <x:c r="P321" s="1" t="s">
        <x:v>26</x:v>
      </x:c>
      <x:c r="Q321" s="1" t="s">
        <x:v>832</x:v>
      </x:c>
      <x:c r="R321" s="1" t="s">
        <x:v>70</x:v>
      </x:c>
    </x:row>
    <x:row r="322" ht="15.75" customHeight="1">
      <x:c r="A322" s="10" t="s">
        <x:v>959</x:v>
      </x:c>
      <x:c r="B322" s="10" t="s">
        <x:v>960</x:v>
      </x:c>
      <x:c r="C322" s="1" t="s">
        <x:v>906</x:v>
      </x:c>
      <x:c r="D322" s="1" t="s">
        <x:v>19</x:v>
      </x:c>
      <x:c r="E322" s="1" t="s">
        <x:v>961</x:v>
      </x:c>
      <x:c r="F322" s="1" t="s">
        <x:v>234</x:v>
      </x:c>
      <x:c r="G322" s="1" t="s">
        <x:v>61</x:v>
      </x:c>
      <x:c r="H322" s="1" t="s">
        <x:v>350</x:v>
      </x:c>
      <x:c r="I322" s="1">
        <x:v>10.0</x:v>
      </x:c>
      <x:c r="J322" s="1">
        <x:v>1.8</x:v>
      </x:c>
      <x:c r="K322" s="1" t="s">
        <x:v>595</x:v>
      </x:c>
      <x:c r="L322" s="10" t="s">
        <x:v>962</x:v>
      </x:c>
      <x:c r="M322" s="1">
        <x:v>18.0</x:v>
      </x:c>
      <x:c r="N322" s="1">
        <x:v>8.0</x:v>
      </x:c>
      <x:c r="O322" s="2">
        <x:f t="shared" si="3"/>
        <x:v>0.8</x:v>
      </x:c>
      <x:c r="P322" s="1" t="s">
        <x:v>26</x:v>
      </x:c>
      <x:c r="Q322" s="1" t="s">
        <x:v>187</x:v>
      </x:c>
      <x:c r="R322" s="1" t="s">
        <x:v>70</x:v>
      </x:c>
    </x:row>
    <x:row r="323" ht="15.75" customHeight="1">
      <x:c r="A323" s="10" t="s">
        <x:v>963</x:v>
      </x:c>
      <x:c r="B323" s="10" t="s">
        <x:v>964</x:v>
      </x:c>
      <x:c r="C323" s="1" t="s">
        <x:v>906</x:v>
      </x:c>
      <x:c r="D323" s="1" t="s">
        <x:v>19</x:v>
      </x:c>
      <x:c r="E323" s="1" t="s">
        <x:v>961</x:v>
      </x:c>
      <x:c r="F323" s="1" t="s">
        <x:v>354</x:v>
      </x:c>
      <x:c r="G323" s="1" t="s">
        <x:v>769</x:v>
      </x:c>
      <x:c r="H323" s="1" t="s">
        <x:v>965</x:v>
      </x:c>
      <x:c r="I323" s="1">
        <x:v>10.0</x:v>
      </x:c>
      <x:c r="J323" s="1">
        <x:v>1.67</x:v>
      </x:c>
      <x:c r="K323" s="1" t="s">
        <x:v>599</x:v>
      </x:c>
      <x:c r="L323" s="10" t="s">
        <x:v>962</x:v>
      </x:c>
      <x:c r="M323" s="1">
        <x:v>0.0</x:v>
      </x:c>
      <x:c r="N323" s="1">
        <x:v>-10.0</x:v>
      </x:c>
      <x:c r="O323" s="2">
        <x:f t="shared" si="3"/>
        <x:v>-1</x:v>
      </x:c>
      <x:c r="P323" s="1" t="s">
        <x:v>26</x:v>
      </x:c>
      <x:c r="Q323" s="1" t="s">
        <x:v>832</x:v>
      </x:c>
      <x:c r="R323" s="1" t="s">
        <x:v>70</x:v>
      </x:c>
    </x:row>
    <x:row r="324" ht="15.75" customHeight="1">
      <x:c r="A324" s="10" t="s">
        <x:v>966</x:v>
      </x:c>
      <x:c r="B324" s="10" t="s">
        <x:v>967</x:v>
      </x:c>
      <x:c r="C324" s="1" t="s">
        <x:v>906</x:v>
      </x:c>
      <x:c r="D324" s="1" t="s">
        <x:v>19</x:v>
      </x:c>
      <x:c r="E324" s="1" t="s">
        <x:v>968</x:v>
      </x:c>
      <x:c r="F324" s="1" t="s">
        <x:v>354</x:v>
      </x:c>
      <x:c r="G324" s="1" t="s">
        <x:v>969</x:v>
      </x:c>
      <x:c r="H324" s="1" t="s">
        <x:v>970</x:v>
      </x:c>
      <x:c r="I324" s="1">
        <x:v>10.0</x:v>
      </x:c>
      <x:c r="J324" s="1">
        <x:v>1.53</x:v>
      </x:c>
      <x:c r="K324" s="1" t="s">
        <x:v>595</x:v>
      </x:c>
      <x:c r="L324" s="1" t="s">
        <x:v>25</x:v>
      </x:c>
      <x:c r="M324" s="1">
        <x:v>15.3</x:v>
      </x:c>
      <x:c r="N324" s="1">
        <x:v>5.3</x:v>
      </x:c>
      <x:c r="O324" s="2">
        <x:f t="shared" si="3"/>
        <x:v>0.53</x:v>
      </x:c>
      <x:c r="P324" s="1" t="s">
        <x:v>26</x:v>
      </x:c>
      <x:c r="Q324" s="1" t="s">
        <x:v>832</x:v>
      </x:c>
      <x:c r="R324" s="1" t="s">
        <x:v>70</x:v>
      </x:c>
    </x:row>
    <x:row r="325" ht="15.75" customHeight="1">
      <x:c r="A325" s="10" t="s">
        <x:v>971</x:v>
      </x:c>
      <x:c r="B325" s="10" t="s">
        <x:v>972</x:v>
      </x:c>
      <x:c r="C325" s="1" t="s">
        <x:v>906</x:v>
      </x:c>
      <x:c r="D325" s="1" t="s">
        <x:v>19</x:v>
      </x:c>
      <x:c r="E325" s="1" t="s">
        <x:v>968</x:v>
      </x:c>
      <x:c r="F325" s="1" t="s">
        <x:v>21</x:v>
      </x:c>
      <x:c r="G325" s="1" t="s">
        <x:v>973</x:v>
      </x:c>
      <x:c r="H325" s="1" t="s">
        <x:v>23</x:v>
      </x:c>
      <x:c r="I325" s="1">
        <x:v>10.0</x:v>
      </x:c>
      <x:c r="J325" s="1">
        <x:v>1.67</x:v>
      </x:c>
      <x:c r="K325" s="1" t="s">
        <x:v>595</x:v>
      </x:c>
      <x:c r="L325" s="1" t="s">
        <x:v>25</x:v>
      </x:c>
      <x:c r="M325" s="1">
        <x:v>16.7</x:v>
      </x:c>
      <x:c r="N325" s="1">
        <x:v>6.7</x:v>
      </x:c>
      <x:c r="O325" s="2">
        <x:f t="shared" si="3"/>
        <x:v>0.67</x:v>
      </x:c>
      <x:c r="P325" s="1" t="s">
        <x:v>26</x:v>
      </x:c>
      <x:c r="Q325" s="1" t="s">
        <x:v>187</x:v>
      </x:c>
      <x:c r="R325" s="1" t="s">
        <x:v>70</x:v>
      </x:c>
    </x:row>
    <x:row r="326" ht="15.75" customHeight="1">
      <x:c r="A326" s="10" t="s">
        <x:v>974</x:v>
      </x:c>
      <x:c r="B326" s="10" t="s">
        <x:v>975</x:v>
      </x:c>
      <x:c r="C326" s="1" t="s">
        <x:v>906</x:v>
      </x:c>
      <x:c r="D326" s="1" t="s">
        <x:v>19</x:v>
      </x:c>
      <x:c r="E326" s="1" t="s">
        <x:v>976</x:v>
      </x:c>
      <x:c r="F326" s="1" t="s">
        <x:v>139</x:v>
      </x:c>
      <x:c r="G326" s="1" t="s">
        <x:v>140</x:v>
      </x:c>
      <x:c r="H326" s="1" t="s">
        <x:v>141</x:v>
      </x:c>
      <x:c r="I326" s="1">
        <x:v>10.0</x:v>
      </x:c>
      <x:c r="J326" s="1">
        <x:v>2.18</x:v>
      </x:c>
      <x:c r="K326" s="1" t="s">
        <x:v>595</x:v>
      </x:c>
      <x:c r="L326" s="1" t="s">
        <x:v>35</x:v>
      </x:c>
      <x:c r="M326" s="1">
        <x:v>21.8</x:v>
      </x:c>
      <x:c r="N326" s="1">
        <x:v>11.8</x:v>
      </x:c>
      <x:c r="O326" s="2">
        <x:f t="shared" si="3"/>
        <x:v>1.18</x:v>
      </x:c>
      <x:c r="P326" s="1" t="s">
        <x:v>26</x:v>
      </x:c>
      <x:c r="Q326" s="1" t="s">
        <x:v>187</x:v>
      </x:c>
      <x:c r="R326" s="1" t="s">
        <x:v>70</x:v>
      </x:c>
    </x:row>
    <x:row r="327" ht="15.75" customHeight="1">
      <x:c r="A327" s="10" t="s">
        <x:v>977</x:v>
      </x:c>
      <x:c r="B327" s="10" t="s">
        <x:v>978</x:v>
      </x:c>
      <x:c r="C327" s="1" t="s">
        <x:v>906</x:v>
      </x:c>
      <x:c r="D327" s="1" t="s">
        <x:v>19</x:v>
      </x:c>
      <x:c r="E327" s="1" t="s">
        <x:v>979</x:v>
      </x:c>
      <x:c r="F327" s="1" t="s">
        <x:v>354</x:v>
      </x:c>
      <x:c r="G327" s="1" t="s">
        <x:v>980</x:v>
      </x:c>
      <x:c r="H327" s="1" t="s">
        <x:v>757</x:v>
      </x:c>
      <x:c r="I327" s="1">
        <x:v>10.0</x:v>
      </x:c>
      <x:c r="J327" s="1">
        <x:v>1.98</x:v>
      </x:c>
      <x:c r="K327" s="1" t="s">
        <x:v>595</x:v>
      </x:c>
      <x:c r="L327" s="10" t="s">
        <x:v>44</x:v>
      </x:c>
      <x:c r="M327" s="1">
        <x:v>19.8</x:v>
      </x:c>
      <x:c r="N327" s="1">
        <x:v>9.8</x:v>
      </x:c>
      <x:c r="O327" s="2">
        <x:f t="shared" si="3"/>
        <x:v>0.98</x:v>
      </x:c>
      <x:c r="P327" s="1" t="s">
        <x:v>26</x:v>
      </x:c>
      <x:c r="Q327" s="1" t="s">
        <x:v>832</x:v>
      </x:c>
      <x:c r="R327" s="1" t="s">
        <x:v>70</x:v>
      </x:c>
    </x:row>
    <x:row r="328" ht="15.75" customHeight="1">
      <x:c r="A328" s="10" t="s">
        <x:v>981</x:v>
      </x:c>
      <x:c r="B328" s="10" t="s">
        <x:v>982</x:v>
      </x:c>
      <x:c r="C328" s="1" t="s">
        <x:v>906</x:v>
      </x:c>
      <x:c r="D328" s="1" t="s">
        <x:v>19</x:v>
      </x:c>
      <x:c r="E328" s="1" t="s">
        <x:v>979</x:v>
      </x:c>
      <x:c r="F328" s="1" t="s">
        <x:v>234</x:v>
      </x:c>
      <x:c r="G328" s="1" t="s">
        <x:v>26</x:v>
      </x:c>
      <x:c r="H328" s="1" t="s">
        <x:v>235</x:v>
      </x:c>
      <x:c r="I328" s="1">
        <x:v>10.0</x:v>
      </x:c>
      <x:c r="J328" s="1">
        <x:v>1.53</x:v>
      </x:c>
      <x:c r="K328" s="1" t="s">
        <x:v>599</x:v>
      </x:c>
      <x:c r="L328" s="10" t="s">
        <x:v>44</x:v>
      </x:c>
      <x:c r="M328" s="1">
        <x:v>0.0</x:v>
      </x:c>
      <x:c r="N328" s="1">
        <x:v>-10.0</x:v>
      </x:c>
      <x:c r="O328" s="2">
        <x:f t="shared" si="3"/>
        <x:v>-1</x:v>
      </x:c>
      <x:c r="P328" s="1" t="s">
        <x:v>26</x:v>
      </x:c>
      <x:c r="Q328" s="1" t="s">
        <x:v>187</x:v>
      </x:c>
      <x:c r="R328" s="1" t="s">
        <x:v>70</x:v>
      </x:c>
    </x:row>
    <x:row r="329" ht="15.75" customHeight="1">
      <x:c r="A329" s="10" t="s">
        <x:v>983</x:v>
      </x:c>
      <x:c r="B329" s="10" t="s">
        <x:v>984</x:v>
      </x:c>
      <x:c r="C329" s="1" t="s">
        <x:v>906</x:v>
      </x:c>
      <x:c r="D329" s="1" t="s">
        <x:v>19</x:v>
      </x:c>
      <x:c r="E329" s="1" t="s">
        <x:v>985</x:v>
      </x:c>
      <x:c r="F329" s="1" t="s">
        <x:v>354</x:v>
      </x:c>
      <x:c r="G329" s="1" t="s">
        <x:v>468</x:v>
      </x:c>
      <x:c r="H329" s="1" t="s">
        <x:v>393</x:v>
      </x:c>
      <x:c r="I329" s="1">
        <x:v>10.0</x:v>
      </x:c>
      <x:c r="J329" s="1">
        <x:v>1.44</x:v>
      </x:c>
      <x:c r="K329" s="1" t="s">
        <x:v>595</x:v>
      </x:c>
      <x:c r="L329" s="1" t="s">
        <x:v>29</x:v>
      </x:c>
      <x:c r="M329" s="1">
        <x:v>14.4</x:v>
      </x:c>
      <x:c r="N329" s="1">
        <x:v>4.4</x:v>
      </x:c>
      <x:c r="O329" s="2">
        <x:f t="shared" si="3"/>
        <x:v>0.44</x:v>
      </x:c>
      <x:c r="P329" s="1" t="s">
        <x:v>26</x:v>
      </x:c>
      <x:c r="Q329" s="1" t="s">
        <x:v>832</x:v>
      </x:c>
      <x:c r="R329" s="1" t="s">
        <x:v>70</x:v>
      </x:c>
    </x:row>
    <x:row r="330" ht="15.75" customHeight="1">
      <x:c r="A330" s="10" t="s">
        <x:v>986</x:v>
      </x:c>
      <x:c r="B330" s="10" t="s">
        <x:v>987</x:v>
      </x:c>
      <x:c r="C330" s="1" t="s">
        <x:v>906</x:v>
      </x:c>
      <x:c r="D330" s="1" t="s">
        <x:v>19</x:v>
      </x:c>
      <x:c r="E330" s="1" t="s">
        <x:v>985</x:v>
      </x:c>
      <x:c r="F330" s="1" t="s">
        <x:v>139</x:v>
      </x:c>
      <x:c r="G330" s="1" t="s">
        <x:v>140</x:v>
      </x:c>
      <x:c r="H330" s="1" t="s">
        <x:v>141</x:v>
      </x:c>
      <x:c r="I330" s="1">
        <x:v>10.0</x:v>
      </x:c>
      <x:c r="J330" s="1">
        <x:v>1.78</x:v>
      </x:c>
      <x:c r="K330" s="1" t="s">
        <x:v>599</x:v>
      </x:c>
      <x:c r="L330" s="1" t="s">
        <x:v>29</x:v>
      </x:c>
      <x:c r="M330" s="1">
        <x:v>0.0</x:v>
      </x:c>
      <x:c r="N330" s="1">
        <x:v>-10.0</x:v>
      </x:c>
      <x:c r="O330" s="2">
        <x:f t="shared" si="3"/>
        <x:v>-1</x:v>
      </x:c>
      <x:c r="P330" s="1" t="s">
        <x:v>26</x:v>
      </x:c>
      <x:c r="Q330" s="1" t="s">
        <x:v>187</x:v>
      </x:c>
      <x:c r="R330" s="1" t="s">
        <x:v>70</x:v>
      </x:c>
    </x:row>
    <x:row r="331" ht="15.75" customHeight="1">
      <x:c r="A331" t="str">
        <x:v>21033039732</x:v>
      </x:c>
      <x:c r="B331" t="str">
        <x:v>08/09/2026 22:17</x:v>
      </x:c>
      <x:c r="C331" t="str">
        <x:v>Aposta Esportiva</x:v>
      </x:c>
      <x:c r="D331" t="str">
        <x:v>Futebol</x:v>
      </x:c>
      <x:c r="E331" t="str">
        <x:v>Boca Juniors - São Paulo</x:v>
      </x:c>
      <x:c r="F331" t="str">
        <x:v>Criar Aposta</x:v>
      </x:c>
      <x:c r="G331" t="str">
        <x:v>Menos de 2.5 + Menos de 11.5 escanteios</x:v>
      </x:c>
      <x:c r="H331" t="str">
        <x:v>Under gols + Escanteios</x:v>
      </x:c>
      <x:c r="I331" s="66" t="n">
        <x:v>10</x:v>
      </x:c>
      <x:c r="J331" s="67" t="n">
        <x:v>1.47</x:v>
      </x:c>
      <x:c r="K331" t="str">
        <x:v>Green</x:v>
      </x:c>
      <x:c r="L331" t="str">
        <x:v>1-0</x:v>
      </x:c>
      <x:c r="M331" s="66" t="n">
        <x:v>14.7</x:v>
      </x:c>
      <x:c r="N331" s="66" t="n">
        <x:v>4.7</x:v>
      </x:c>
      <x:c r="O331" s="68" t="n">
        <x:v>0.47</x:v>
      </x:c>
      <x:c r="P331" t="str">
        <x:v>Não</x:v>
      </x:c>
      <x:c r="Q331" t="str">
        <x:v>CA combinado</x:v>
      </x:c>
      <x:c r="R331" t="str">
        <x:v>Live</x:v>
      </x:c>
    </x:row>
    <x:row r="332" ht="15.75" customHeight="1">
      <x:c r="A332" t="str">
        <x:v>21032874002</x:v>
      </x:c>
      <x:c r="B332" t="str">
        <x:v>08/09/2026 21:51</x:v>
      </x:c>
      <x:c r="C332" t="str">
        <x:v>Aposta Esportiva</x:v>
      </x:c>
      <x:c r="D332" t="str">
        <x:v>Futebol</x:v>
      </x:c>
      <x:c r="E332" t="str">
        <x:v>Curico Unido - Unión Española</x:v>
      </x:c>
      <x:c r="F332" t="str">
        <x:v>Total de Gols</x:v>
      </x:c>
      <x:c r="G332" t="str">
        <x:v>Mais de 2.5</x:v>
      </x:c>
      <x:c r="H332" t="str">
        <x:v>Over gols</x:v>
      </x:c>
      <x:c r="I332" s="66" t="n">
        <x:v>10</x:v>
      </x:c>
      <x:c r="J332" s="67" t="n">
        <x:v>1.38</x:v>
      </x:c>
      <x:c r="K332" t="str">
        <x:v>Green</x:v>
      </x:c>
      <x:c r="L332" t="str">
        <x:v>2-1</x:v>
      </x:c>
      <x:c r="M332" s="66" t="n">
        <x:v>13.8</x:v>
      </x:c>
      <x:c r="N332" s="66" t="n">
        <x:v>3.8</x:v>
      </x:c>
      <x:c r="O332" s="68" t="n">
        <x:v>0.38</x:v>
      </x:c>
      <x:c r="P332" t="str">
        <x:v>Não</x:v>
      </x:c>
      <x:c r="Q332"/>
      <x:c r="R332" t="str">
        <x:v>Live</x:v>
      </x:c>
    </x:row>
    <x:row r="333" ht="15.75" customHeight="1">
      <x:c r="A333" t="str">
        <x:v>21032851132</x:v>
      </x:c>
      <x:c r="B333" t="str">
        <x:v>08/09/2026 21:47</x:v>
      </x:c>
      <x:c r="C333" t="str">
        <x:v>Aposta Esportiva</x:v>
      </x:c>
      <x:c r="D333" t="str">
        <x:v>Futebol</x:v>
      </x:c>
      <x:c r="E333" t="str">
        <x:v>Deportes Temuco - Santiago Wanderers</x:v>
      </x:c>
      <x:c r="F333" t="str">
        <x:v>Ambas equipes Marcam</x:v>
      </x:c>
      <x:c r="G333" t="str">
        <x:v>Não</x:v>
      </x:c>
      <x:c r="H333" t="str">
        <x:v>BTTS Não</x:v>
      </x:c>
      <x:c r="I333" s="66" t="n">
        <x:v>10</x:v>
      </x:c>
      <x:c r="J333" s="67" t="n">
        <x:v>1.55</x:v>
      </x:c>
      <x:c r="K333" t="str">
        <x:v>Green</x:v>
      </x:c>
      <x:c r="L333" t="str">
        <x:v>3-0</x:v>
      </x:c>
      <x:c r="M333" s="66" t="n">
        <x:v>15.5</x:v>
      </x:c>
      <x:c r="N333" s="66" t="n">
        <x:v>5.5</x:v>
      </x:c>
      <x:c r="O333" s="68" t="n">
        <x:v>0.55</x:v>
      </x:c>
      <x:c r="P333" t="str">
        <x:v>Não</x:v>
      </x:c>
      <x:c r="Q333"/>
      <x:c r="R333" t="str">
        <x:v>Live</x:v>
      </x:c>
    </x:row>
    <x:row r="334" ht="15.75" customHeight="1">
      <x:c r="A334" t="str">
        <x:v>21031801422</x:v>
      </x:c>
      <x:c r="B334" t="str">
        <x:v>08/09/2026 20:03</x:v>
      </x:c>
      <x:c r="C334" t="str">
        <x:v>Aposta Esportiva</x:v>
      </x:c>
      <x:c r="D334" t="str">
        <x:v>Futebol</x:v>
      </x:c>
      <x:c r="E334" t="str">
        <x:v>Cuiabá - Athletic Club MG</x:v>
      </x:c>
      <x:c r="F334" t="str">
        <x:v>Total de Gols</x:v>
      </x:c>
      <x:c r="G334" t="str">
        <x:v>Menos de 2.5</x:v>
      </x:c>
      <x:c r="H334" t="str">
        <x:v>Under gols</x:v>
      </x:c>
      <x:c r="I334" s="66" t="n">
        <x:v>10</x:v>
      </x:c>
      <x:c r="J334" s="67" t="n">
        <x:v>1.45</x:v>
      </x:c>
      <x:c r="K334" t="str">
        <x:v>Red</x:v>
      </x:c>
      <x:c r="L334" t="str">
        <x:v>3-0</x:v>
      </x:c>
      <x:c r="M334" s="66" t="n">
        <x:v>0</x:v>
      </x:c>
      <x:c r="N334" s="66" t="n">
        <x:v>-10</x:v>
      </x:c>
      <x:c r="O334" s="68" t="n">
        <x:v>-1</x:v>
      </x:c>
      <x:c r="P334" t="str">
        <x:v>Não</x:v>
      </x:c>
      <x:c r="Q334"/>
      <x:c r="R334" t="str">
        <x:v>Pré-jogo</x:v>
      </x:c>
    </x:row>
    <x:row r="335" ht="15.75" customHeight="1">
      <x:c r="A335" t="str">
        <x:v>21031725042</x:v>
      </x:c>
      <x:c r="B335" t="str">
        <x:v>08/09/2026 19:54</x:v>
      </x:c>
      <x:c r="C335" t="str">
        <x:v>Aposta Esportiva</x:v>
      </x:c>
      <x:c r="D335" t="str">
        <x:v>Futebol</x:v>
      </x:c>
      <x:c r="E335" t="str">
        <x:v>Criciúma - Juventude-RS</x:v>
      </x:c>
      <x:c r="F335" t="str">
        <x:v>Criar Aposta</x:v>
      </x:c>
      <x:c r="G335" t="str">
        <x:v>Mais de 0.5 + Menos de 3.5 + Mais de 8.5 escanteios</x:v>
      </x:c>
      <x:c r="H335" t="str">
        <x:v>Faixa de gols + Escanteios</x:v>
      </x:c>
      <x:c r="I335" s="66" t="n">
        <x:v>10</x:v>
      </x:c>
      <x:c r="J335" s="67" t="n">
        <x:v>1.78</x:v>
      </x:c>
      <x:c r="K335" t="str">
        <x:v>Green</x:v>
      </x:c>
      <x:c r="L335" t="str">
        <x:v>0-2</x:v>
      </x:c>
      <x:c r="M335" s="66" t="n">
        <x:v>17.8</x:v>
      </x:c>
      <x:c r="N335" s="66" t="n">
        <x:v>7.8</x:v>
      </x:c>
      <x:c r="O335" s="68" t="n">
        <x:v>0.78</x:v>
      </x:c>
      <x:c r="P335" t="str">
        <x:v>Não</x:v>
      </x:c>
      <x:c r="Q335" t="str">
        <x:v>CA combinado</x:v>
      </x:c>
      <x:c r="R335" t="str">
        <x:v>Pré-jogo</x:v>
      </x:c>
    </x:row>
    <x:row r="336" ht="15.75" customHeight="1">
      <x:c r="A336" t="str">
        <x:v>21031716292</x:v>
      </x:c>
      <x:c r="B336" t="str">
        <x:v>08/09/2026 19:54</x:v>
      </x:c>
      <x:c r="C336" t="str">
        <x:v>Aposta Esportiva</x:v>
      </x:c>
      <x:c r="D336" t="str">
        <x:v>Futebol</x:v>
      </x:c>
      <x:c r="E336" t="str">
        <x:v>Criciúma - Juventude-RS</x:v>
      </x:c>
      <x:c r="F336" t="str">
        <x:v>Ambas equipes Marcam</x:v>
      </x:c>
      <x:c r="G336" t="str">
        <x:v>Não</x:v>
      </x:c>
      <x:c r="H336" t="str">
        <x:v>BTTS Não</x:v>
      </x:c>
      <x:c r="I336" s="66" t="n">
        <x:v>10</x:v>
      </x:c>
      <x:c r="J336" s="67" t="n">
        <x:v>1.67</x:v>
      </x:c>
      <x:c r="K336" t="str">
        <x:v>Green</x:v>
      </x:c>
      <x:c r="L336" t="str">
        <x:v>0-2</x:v>
      </x:c>
      <x:c r="M336" s="66" t="n">
        <x:v>16.7</x:v>
      </x:c>
      <x:c r="N336" s="66" t="n">
        <x:v>6.7</x:v>
      </x:c>
      <x:c r="O336" s="68" t="n">
        <x:v>0.67</x:v>
      </x:c>
      <x:c r="P336" t="str">
        <x:v>Não</x:v>
      </x:c>
      <x:c r="Q336"/>
      <x:c r="R336" t="str">
        <x:v>Pré-jogo</x:v>
      </x:c>
    </x:row>
    <x:row r="337" ht="15.75" customHeight="1">
      <x:c r="A337" t="str">
        <x:v>21031660272</x:v>
      </x:c>
      <x:c r="B337" t="str">
        <x:v>08/09/2026 19:47</x:v>
      </x:c>
      <x:c r="C337" t="str">
        <x:v>Aposta Esportiva</x:v>
      </x:c>
      <x:c r="D337" t="str">
        <x:v>Futebol</x:v>
      </x:c>
      <x:c r="E337" t="str">
        <x:v>Independiente Santa Fe - Vasco da Gama</x:v>
      </x:c>
      <x:c r="F337" t="str">
        <x:v>Criar Aposta</x:v>
      </x:c>
      <x:c r="G337" t="str">
        <x:v>X2 + Menos de 3.5 + Mais de 0.5</x:v>
      </x:c>
      <x:c r="H337" t="str">
        <x:v>Chance dupla + Faixa de gols</x:v>
      </x:c>
      <x:c r="I337" s="66" t="n">
        <x:v>10</x:v>
      </x:c>
      <x:c r="J337" s="67" t="n">
        <x:v>2.5</x:v>
      </x:c>
      <x:c r="K337" t="str">
        <x:v>Red</x:v>
      </x:c>
      <x:c r="L337" t="str">
        <x:v>0-0</x:v>
      </x:c>
      <x:c r="M337" s="66" t="n">
        <x:v>0</x:v>
      </x:c>
      <x:c r="N337" s="66" t="n">
        <x:v>-10</x:v>
      </x:c>
      <x:c r="O337" s="68" t="n">
        <x:v>-1</x:v>
      </x:c>
      <x:c r="P337" t="str">
        <x:v>Não</x:v>
      </x:c>
      <x:c r="Q337" t="str">
        <x:v>CA combinado</x:v>
      </x:c>
      <x:c r="R337" t="str">
        <x:v>Live</x:v>
      </x:c>
    </x:row>
    <x:row r="338" ht="15.75" customHeight="1">
      <x:c r="A338" t="str">
        <x:v>21031624162</x:v>
      </x:c>
      <x:c r="B338" t="str">
        <x:v>08/09/2026 19:42</x:v>
      </x:c>
      <x:c r="C338" t="str">
        <x:v>Aposta Esportiva</x:v>
      </x:c>
      <x:c r="D338" t="str">
        <x:v>Futebol</x:v>
      </x:c>
      <x:c r="E338" t="str">
        <x:v>Boca Juniors - São Paulo</x:v>
      </x:c>
      <x:c r="F338" t="str">
        <x:v>Criar Aposta</x:v>
      </x:c>
      <x:c r="G338" t="str">
        <x:v>Mais de 5.5 escanteios + Menos de 13.5 escanteios + Mais de 2.5 cartões + Mais de 0.5 gols</x:v>
      </x:c>
      <x:c r="H338" t="str">
        <x:v>Escanteios + Cartões + Over gols</x:v>
      </x:c>
      <x:c r="I338" s="66" t="n">
        <x:v>10</x:v>
      </x:c>
      <x:c r="J338" s="67" t="n">
        <x:v>1.53</x:v>
      </x:c>
      <x:c r="K338" t="str">
        <x:v>Red</x:v>
      </x:c>
      <x:c r="L338" t="str">
        <x:v>1-0</x:v>
      </x:c>
      <x:c r="M338" s="66" t="n">
        <x:v>0</x:v>
      </x:c>
      <x:c r="N338" s="66" t="n">
        <x:v>-10</x:v>
      </x:c>
      <x:c r="O338" s="68" t="n">
        <x:v>-1</x:v>
      </x:c>
      <x:c r="P338" t="str">
        <x:v>Não</x:v>
      </x:c>
      <x:c r="Q338" t="str">
        <x:v>CA combinado</x:v>
      </x:c>
      <x:c r="R338" t="str">
        <x:v>Pré-jogo</x:v>
      </x:c>
    </x:row>
    <x:row r="339" ht="15.75" customHeight="1">
      <x:c r="A339" t="str">
        <x:v>21031612912</x:v>
      </x:c>
      <x:c r="B339" t="str">
        <x:v>08/09/2026 19:41</x:v>
      </x:c>
      <x:c r="C339" t="str">
        <x:v>Aposta Esportiva</x:v>
      </x:c>
      <x:c r="D339" t="str">
        <x:v>Futebol</x:v>
      </x:c>
      <x:c r="E339" t="str">
        <x:v>Boca Juniors - São Paulo</x:v>
      </x:c>
      <x:c r="F339" t="str">
        <x:v>Criar Aposta</x:v>
      </x:c>
      <x:c r="G339" t="str">
        <x:v>Mais de 0.5 + Menos de 4.5 + 1X</x:v>
      </x:c>
      <x:c r="H339" t="str">
        <x:v>Faixa de gols + Chance dupla</x:v>
      </x:c>
      <x:c r="I339" s="66" t="n">
        <x:v>10</x:v>
      </x:c>
      <x:c r="J339" s="67" t="n">
        <x:v>1.5</x:v>
      </x:c>
      <x:c r="K339" t="str">
        <x:v>Green</x:v>
      </x:c>
      <x:c r="L339" t="str">
        <x:v>1-0</x:v>
      </x:c>
      <x:c r="M339" s="66" t="n">
        <x:v>15</x:v>
      </x:c>
      <x:c r="N339" s="66" t="n">
        <x:v>5</x:v>
      </x:c>
      <x:c r="O339" s="68" t="n">
        <x:v>0.5</x:v>
      </x:c>
      <x:c r="P339" t="str">
        <x:v>Não</x:v>
      </x:c>
      <x:c r="Q339" t="str">
        <x:v>CA combinado</x:v>
      </x:c>
      <x:c r="R339" t="str">
        <x:v>Pré-jogo</x:v>
      </x:c>
    </x:row>
    <x:row r="340" ht="15.75" customHeight="1">
      <x:c r="A340" t="str">
        <x:v>21031232802</x:v>
      </x:c>
      <x:c r="B340" t="str">
        <x:v>08/09/2026 18:57</x:v>
      </x:c>
      <x:c r="C340" t="str">
        <x:v>Aposta Esportiva</x:v>
      </x:c>
      <x:c r="D340" t="str">
        <x:v>Futebol</x:v>
      </x:c>
      <x:c r="E340" t="str">
        <x:v>Fluminense - CA Platense</x:v>
      </x:c>
      <x:c r="F340" t="str">
        <x:v>Resultado Final SuperOdds</x:v>
      </x:c>
      <x:c r="G340" t="str">
        <x:v>Fluminense</x:v>
      </x:c>
      <x:c r="H340" t="str">
        <x:v>Vitória equipe</x:v>
      </x:c>
      <x:c r="I340" s="66" t="n">
        <x:v>10</x:v>
      </x:c>
      <x:c r="J340" s="67" t="n">
        <x:v>1.62</x:v>
      </x:c>
      <x:c r="K340" t="str">
        <x:v>Green</x:v>
      </x:c>
      <x:c r="L340" t="str">
        <x:v>2-0</x:v>
      </x:c>
      <x:c r="M340" s="66" t="n">
        <x:v>16.2</x:v>
      </x:c>
      <x:c r="N340" s="66" t="n">
        <x:v>6.2</x:v>
      </x:c>
      <x:c r="O340" s="68" t="n">
        <x:v>0.62</x:v>
      </x:c>
      <x:c r="P340" t="str">
        <x:v>Sim</x:v>
      </x:c>
      <x:c r="Q340"/>
      <x:c r="R340" t="str">
        <x:v>Pré-jogo</x:v>
      </x:c>
    </x:row>
    <x:row r="341" ht="15.75" customHeight="1">
      <x:c r="A341" t="str">
        <x:v>21028882562</x:v>
      </x:c>
      <x:c r="B341" t="str">
        <x:v>08/09/2026 15:34</x:v>
      </x:c>
      <x:c r="C341" t="str">
        <x:v>Aposta Esportiva</x:v>
      </x:c>
      <x:c r="D341" t="str">
        <x:v>Futebol</x:v>
      </x:c>
      <x:c r="E341" t="str">
        <x:v>AFC Bournemouth - Lincoln City</x:v>
      </x:c>
      <x:c r="F341" t="str">
        <x:v>Criar Aposta</x:v>
      </x:c>
      <x:c r="G341" t="str">
        <x:v>Menos de 5.5 gols + Mais de 5.5 escanteios + Menos de 12.5 escanteios + Mais de 1.5 cartões</x:v>
      </x:c>
      <x:c r="H341" t="str">
        <x:v>Under gols + Escanteios + Cartões</x:v>
      </x:c>
      <x:c r="I341" s="66" t="n">
        <x:v>10</x:v>
      </x:c>
      <x:c r="J341" s="67" t="n">
        <x:v>1.78</x:v>
      </x:c>
      <x:c r="K341" t="str">
        <x:v>Green</x:v>
      </x:c>
      <x:c r="L341" t="str">
        <x:v>4-0</x:v>
      </x:c>
      <x:c r="M341" s="66" t="n">
        <x:v>17.8</x:v>
      </x:c>
      <x:c r="N341" s="66" t="n">
        <x:v>7.8</x:v>
      </x:c>
      <x:c r="O341" s="68" t="n">
        <x:v>0.78</x:v>
      </x:c>
      <x:c r="P341" t="str">
        <x:v>Não</x:v>
      </x:c>
      <x:c r="Q341" t="str">
        <x:v>CA combinado</x:v>
      </x:c>
      <x:c r="R341" t="str">
        <x:v>Pré-jogo</x:v>
      </x:c>
    </x:row>
    <x:row r="342" ht="15.75" customHeight="1">
      <x:c r="A342" t="str">
        <x:v>21028603172</x:v>
      </x:c>
      <x:c r="B342" t="str">
        <x:v>08/09/2026 15:11</x:v>
      </x:c>
      <x:c r="C342" t="str">
        <x:v>Aposta Esportiva</x:v>
      </x:c>
      <x:c r="D342" t="str">
        <x:v>Futebol</x:v>
      </x:c>
      <x:c r="E342" t="str">
        <x:v>AFC Bournemouth - Lincoln City</x:v>
      </x:c>
      <x:c r="F342" t="str">
        <x:v>Criar Aposta</x:v>
      </x:c>
      <x:c r="G342" t="str">
        <x:v>Mais de 5.5 escanteios + Menos de 13.5 escanteios + Mais de 1.5 cartões + Menos de 7.5 cartões + Menos de 5.5 gols</x:v>
      </x:c>
      <x:c r="H342" t="str">
        <x:v>Escanteios + Cartões + Under gols</x:v>
      </x:c>
      <x:c r="I342" s="66" t="n">
        <x:v>10</x:v>
      </x:c>
      <x:c r="J342" s="67" t="n">
        <x:v>1.7</x:v>
      </x:c>
      <x:c r="K342" t="str">
        <x:v>Green</x:v>
      </x:c>
      <x:c r="L342" t="str">
        <x:v>4-0</x:v>
      </x:c>
      <x:c r="M342" s="66" t="n">
        <x:v>17</x:v>
      </x:c>
      <x:c r="N342" s="66" t="n">
        <x:v>7</x:v>
      </x:c>
      <x:c r="O342" s="68" t="n">
        <x:v>0.7</x:v>
      </x:c>
      <x:c r="P342" t="str">
        <x:v>Não</x:v>
      </x:c>
      <x:c r="Q342" t="str">
        <x:v>CA combinado</x:v>
      </x:c>
      <x:c r="R342" t="str">
        <x:v>Pré-jogo</x:v>
      </x:c>
    </x:row>
    <x:row r="343" ht="15.75" customHeight="1">
      <x:c r="A343" t="str">
        <x:v>21028595282</x:v>
      </x:c>
      <x:c r="B343" t="str">
        <x:v>08/09/2026 15:10</x:v>
      </x:c>
      <x:c r="C343" t="str">
        <x:v>Aposta Esportiva</x:v>
      </x:c>
      <x:c r="D343" t="str">
        <x:v>Futebol</x:v>
      </x:c>
      <x:c r="E343" t="str">
        <x:v>AFC Bournemouth - Lincoln City</x:v>
      </x:c>
      <x:c r="F343" t="str">
        <x:v>Criar Aposta</x:v>
      </x:c>
      <x:c r="G343" t="str">
        <x:v>1X + Mais de 1.5 + Menos de 5.5</x:v>
      </x:c>
      <x:c r="H343" t="str">
        <x:v>Chance dupla + Faixa de gols</x:v>
      </x:c>
      <x:c r="I343" s="66" t="n">
        <x:v>10</x:v>
      </x:c>
      <x:c r="J343" s="67" t="n">
        <x:v>1.4</x:v>
      </x:c>
      <x:c r="K343" t="str">
        <x:v>Green</x:v>
      </x:c>
      <x:c r="L343" t="str">
        <x:v>4-0</x:v>
      </x:c>
      <x:c r="M343" s="66" t="n">
        <x:v>14</x:v>
      </x:c>
      <x:c r="N343" s="66" t="n">
        <x:v>4</x:v>
      </x:c>
      <x:c r="O343" s="68" t="n">
        <x:v>0.4</x:v>
      </x:c>
      <x:c r="P343" t="str">
        <x:v>Não</x:v>
      </x:c>
      <x:c r="Q343" t="str">
        <x:v>CA combinado</x:v>
      </x:c>
      <x:c r="R343" t="str">
        <x:v>Pré-jogo</x:v>
      </x:c>
    </x:row>
    <x:row r="344" ht="15.75" customHeight="1">
      <x:c r="A344" t="str">
        <x:v>21028545212</x:v>
      </x:c>
      <x:c r="B344" t="str">
        <x:v>08/09/2026 15:05</x:v>
      </x:c>
      <x:c r="C344" t="str">
        <x:v>Aposta Esportiva</x:v>
      </x:c>
      <x:c r="D344" t="str">
        <x:v>Futebol</x:v>
      </x:c>
      <x:c r="E344" t="str">
        <x:v>Lille - Bétis</x:v>
      </x:c>
      <x:c r="F344" t="str">
        <x:v>Criar Aposta</x:v>
      </x:c>
      <x:c r="G344" t="str">
        <x:v>Mais de 0.5 + Menos de 5.5 + 1X</x:v>
      </x:c>
      <x:c r="H344" t="str">
        <x:v>Faixa de gols + Chance dupla</x:v>
      </x:c>
      <x:c r="I344" s="66" t="n">
        <x:v>10</x:v>
      </x:c>
      <x:c r="J344" s="67" t="n">
        <x:v>1.57</x:v>
      </x:c>
      <x:c r="K344" t="str">
        <x:v>Red</x:v>
      </x:c>
      <x:c r="L344" t="str">
        <x:v>2-3</x:v>
      </x:c>
      <x:c r="M344" s="66" t="n">
        <x:v>0</x:v>
      </x:c>
      <x:c r="N344" s="66" t="n">
        <x:v>-10</x:v>
      </x:c>
      <x:c r="O344" s="68" t="n">
        <x:v>-1</x:v>
      </x:c>
      <x:c r="P344" t="str">
        <x:v>Não</x:v>
      </x:c>
      <x:c r="Q344" t="str">
        <x:v>CA combinado</x:v>
      </x:c>
      <x:c r="R344" t="str">
        <x:v>Pré-jogo</x:v>
      </x:c>
    </x:row>
    <x:row r="345" ht="15.75" customHeight="1">
      <x:c r="A345" t="str">
        <x:v>21028483462</x:v>
      </x:c>
      <x:c r="B345" t="str">
        <x:v>08/09/2026 14:58</x:v>
      </x:c>
      <x:c r="C345" t="str">
        <x:v>Aposta Esportiva</x:v>
      </x:c>
      <x:c r="D345" t="str">
        <x:v>Futebol</x:v>
      </x:c>
      <x:c r="E345" t="str">
        <x:v>Borussia Dortmund - Villarreal CF</x:v>
      </x:c>
      <x:c r="F345" t="str">
        <x:v>Ambas equipes Marcam</x:v>
      </x:c>
      <x:c r="G345" t="str">
        <x:v>Sim</x:v>
      </x:c>
      <x:c r="H345" t="str">
        <x:v>BTTS Sim</x:v>
      </x:c>
      <x:c r="I345" s="66" t="n">
        <x:v>10</x:v>
      </x:c>
      <x:c r="J345" s="67" t="n">
        <x:v>1.5</x:v>
      </x:c>
      <x:c r="K345" t="str">
        <x:v>Green</x:v>
      </x:c>
      <x:c r="L345" t="str">
        <x:v>3-2</x:v>
      </x:c>
      <x:c r="M345" s="66" t="n">
        <x:v>15</x:v>
      </x:c>
      <x:c r="N345" s="66" t="n">
        <x:v>5</x:v>
      </x:c>
      <x:c r="O345" s="68" t="n">
        <x:v>0.5</x:v>
      </x:c>
      <x:c r="P345" t="str">
        <x:v>Não</x:v>
      </x:c>
      <x:c r="Q345"/>
      <x:c r="R345" t="str">
        <x:v>Pré-jogo</x:v>
      </x:c>
    </x:row>
    <x:row r="346" ht="15.75" customHeight="1">
      <x:c r="A346" t="str">
        <x:v>21028481782</x:v>
      </x:c>
      <x:c r="B346" t="str">
        <x:v>08/09/2026 14:58</x:v>
      </x:c>
      <x:c r="C346" t="str">
        <x:v>Aposta Esportiva</x:v>
      </x:c>
      <x:c r="D346" t="str">
        <x:v>Futebol</x:v>
      </x:c>
      <x:c r="E346" t="str">
        <x:v>Borussia Dortmund - Villarreal CF</x:v>
      </x:c>
      <x:c r="F346" t="str">
        <x:v>Criar Aposta</x:v>
      </x:c>
      <x:c r="G346" t="str">
        <x:v>Mais de 1.5 gols + Mais de 1.5 cartões + Mais de 5.5 escanteios + Menos de 13.5 escanteios</x:v>
      </x:c>
      <x:c r="H346" t="str">
        <x:v>Over gols + Cartões + Escanteios</x:v>
      </x:c>
      <x:c r="I346" s="66" t="n">
        <x:v>10</x:v>
      </x:c>
      <x:c r="J346" s="67" t="n">
        <x:v>1.55</x:v>
      </x:c>
      <x:c r="K346" t="str">
        <x:v>Red</x:v>
      </x:c>
      <x:c r="L346" t="str">
        <x:v>3-2</x:v>
      </x:c>
      <x:c r="M346" s="66" t="n">
        <x:v>0</x:v>
      </x:c>
      <x:c r="N346" s="66" t="n">
        <x:v>-10</x:v>
      </x:c>
      <x:c r="O346" s="68" t="n">
        <x:v>-1</x:v>
      </x:c>
      <x:c r="P346" t="str">
        <x:v>Não</x:v>
      </x:c>
      <x:c r="Q346" t="str">
        <x:v>CA combinado</x:v>
      </x:c>
      <x:c r="R346" t="str">
        <x:v>Pré-jogo</x:v>
      </x:c>
    </x:row>
    <x:row r="347" ht="15.75" customHeight="1">
      <x:c r="A347" t="str">
        <x:v>21028448212</x:v>
      </x:c>
      <x:c r="B347" t="str">
        <x:v>08/09/2026 14:54</x:v>
      </x:c>
      <x:c r="C347" t="str">
        <x:v>Aposta Esportiva</x:v>
      </x:c>
      <x:c r="D347" t="str">
        <x:v>Futebol</x:v>
      </x:c>
      <x:c r="E347" t="str">
        <x:v>FC Porto - Manchester City</x:v>
      </x:c>
      <x:c r="F347" t="str">
        <x:v>Criar Aposta</x:v>
      </x:c>
      <x:c r="G347" t="str">
        <x:v>Menos de 4.5 gols + Mais de 5.5 escanteios + Menos de 12.5 escanteios + Mais de 1.5 cartões</x:v>
      </x:c>
      <x:c r="H347" t="str">
        <x:v>Under gols + Escanteios + Cartões</x:v>
      </x:c>
      <x:c r="I347" s="66" t="n">
        <x:v>10</x:v>
      </x:c>
      <x:c r="J347" s="67" t="n">
        <x:v>1.78</x:v>
      </x:c>
      <x:c r="K347" t="str">
        <x:v>Green</x:v>
      </x:c>
      <x:c r="L347" t="str">
        <x:v>0-2</x:v>
      </x:c>
      <x:c r="M347" s="66" t="n">
        <x:v>17.8</x:v>
      </x:c>
      <x:c r="N347" s="66" t="n">
        <x:v>7.8</x:v>
      </x:c>
      <x:c r="O347" s="68" t="n">
        <x:v>0.78</x:v>
      </x:c>
      <x:c r="P347" t="str">
        <x:v>Não</x:v>
      </x:c>
      <x:c r="Q347" t="str">
        <x:v>CA combinado</x:v>
      </x:c>
      <x:c r="R347" t="str">
        <x:v>Pré-jogo</x:v>
      </x:c>
    </x:row>
    <x:row r="348" ht="15.75" customHeight="1">
      <x:c r="A348" t="str">
        <x:v>21028424662</x:v>
      </x:c>
      <x:c r="B348" t="str">
        <x:v>08/09/2026 14:51</x:v>
      </x:c>
      <x:c r="C348" t="str">
        <x:v>Aposta Esportiva</x:v>
      </x:c>
      <x:c r="D348" t="str">
        <x:v>Futebol</x:v>
      </x:c>
      <x:c r="E348" t="str">
        <x:v>Real Madrid - Inter de Milão</x:v>
      </x:c>
      <x:c r="F348" t="str">
        <x:v>Criar Aposta</x:v>
      </x:c>
      <x:c r="G348" t="str">
        <x:v>Menos de 13.5 escanteios + Menos de 6.5 gols + Mais de 1.5 cartões + Mais de 5.5 escanteios</x:v>
      </x:c>
      <x:c r="H348" t="str">
        <x:v>Escanteios + Under gols + Cartões</x:v>
      </x:c>
      <x:c r="I348" s="66" t="n">
        <x:v>10</x:v>
      </x:c>
      <x:c r="J348" s="67" t="n">
        <x:v>1.47</x:v>
      </x:c>
      <x:c r="K348" t="str">
        <x:v>Red</x:v>
      </x:c>
      <x:c r="L348" t="str">
        <x:v>2-1</x:v>
      </x:c>
      <x:c r="M348" s="66" t="n">
        <x:v>0</x:v>
      </x:c>
      <x:c r="N348" s="66" t="n">
        <x:v>-10</x:v>
      </x:c>
      <x:c r="O348" s="68" t="n">
        <x:v>-1</x:v>
      </x:c>
      <x:c r="P348" t="str">
        <x:v>Não</x:v>
      </x:c>
      <x:c r="Q348" t="str">
        <x:v>CA combinado</x:v>
      </x:c>
      <x:c r="R348" t="str">
        <x:v>Pré-jogo</x:v>
      </x:c>
    </x:row>
    <x:row r="349" ht="15.75" customHeight="1">
      <x:c r="A349" t="str">
        <x:v>21028345662</x:v>
      </x:c>
      <x:c r="B349" t="str">
        <x:v>08/09/2026 14:43</x:v>
      </x:c>
      <x:c r="C349" t="str">
        <x:v>Aposta Esportiva</x:v>
      </x:c>
      <x:c r="D349" t="str">
        <x:v>Futebol</x:v>
      </x:c>
      <x:c r="E349" t="str">
        <x:v>Al-Hazem SC - Al-Taawoun FC</x:v>
      </x:c>
      <x:c r="F349" t="str">
        <x:v>Resultado Final</x:v>
      </x:c>
      <x:c r="G349" t="str">
        <x:v>Al-Hazem SC</x:v>
      </x:c>
      <x:c r="H349" t="str">
        <x:v>Vitória equipe</x:v>
      </x:c>
      <x:c r="I349" s="66" t="n">
        <x:v>10</x:v>
      </x:c>
      <x:c r="J349" s="67" t="n">
        <x:v>1.3</x:v>
      </x:c>
      <x:c r="K349" t="str">
        <x:v>Green</x:v>
      </x:c>
      <x:c r="L349" t="str">
        <x:v>1-0</x:v>
      </x:c>
      <x:c r="M349" s="66" t="n">
        <x:v>13</x:v>
      </x:c>
      <x:c r="N349" s="66" t="n">
        <x:v>3</x:v>
      </x:c>
      <x:c r="O349" s="68" t="n">
        <x:v>0.3</x:v>
      </x:c>
      <x:c r="P349" t="str">
        <x:v>Não</x:v>
      </x:c>
      <x:c r="Q349"/>
      <x:c r="R349" t="str">
        <x:v>Live</x:v>
      </x:c>
    </x:row>
    <x:row r="350" ht="15.75" customHeight="1">
      <x:c r="A350" t="str">
        <x:v>21028309862</x:v>
      </x:c>
      <x:c r="B350" t="str">
        <x:v>08/09/2026 14:39</x:v>
      </x:c>
      <x:c r="C350" t="str">
        <x:v>Aposta Esportiva</x:v>
      </x:c>
      <x:c r="D350" t="str">
        <x:v>Futebol</x:v>
      </x:c>
      <x:c r="E350" t="str">
        <x:v>El Zamalek - Abo Qair Semad</x:v>
      </x:c>
      <x:c r="F350" t="str">
        <x:v>Próximo gol (Gol 2)</x:v>
      </x:c>
      <x:c r="G350" t="str">
        <x:v>El Zamalek</x:v>
      </x:c>
      <x:c r="H350" t="str">
        <x:v>Próximo gol</x:v>
      </x:c>
      <x:c r="I350" s="66" t="n">
        <x:v>10</x:v>
      </x:c>
      <x:c r="J350" s="67" t="n">
        <x:v>1.7</x:v>
      </x:c>
      <x:c r="K350" t="str">
        <x:v>Green</x:v>
      </x:c>
      <x:c r="L350" t="str">
        <x:v>2-0</x:v>
      </x:c>
      <x:c r="M350" s="66" t="n">
        <x:v>17</x:v>
      </x:c>
      <x:c r="N350" s="66" t="n">
        <x:v>7</x:v>
      </x:c>
      <x:c r="O350" s="68" t="n">
        <x:v>0.7</x:v>
      </x:c>
      <x:c r="P350" t="str">
        <x:v>Não</x:v>
      </x:c>
      <x:c r="Q350"/>
      <x:c r="R350" t="str">
        <x:v>Live</x:v>
      </x:c>
    </x:row>
    <x:row r="351" ht="15.75" customHeight="1">
      <x:c r="A351" t="str">
        <x:v>21028305632</x:v>
      </x:c>
      <x:c r="B351" t="str">
        <x:v>08/09/2026 14:38</x:v>
      </x:c>
      <x:c r="C351" t="str">
        <x:v>Aposta Esportiva</x:v>
      </x:c>
      <x:c r="D351" t="str">
        <x:v>Futebol</x:v>
      </x:c>
      <x:c r="E351" t="str">
        <x:v>El Zamalek - Abo Qair Semad</x:v>
      </x:c>
      <x:c r="F351" t="str">
        <x:v>Ambas equipes Marcam</x:v>
      </x:c>
      <x:c r="G351" t="str">
        <x:v>Não</x:v>
      </x:c>
      <x:c r="H351" t="str">
        <x:v>BTTS Não</x:v>
      </x:c>
      <x:c r="I351" s="66" t="n">
        <x:v>10</x:v>
      </x:c>
      <x:c r="J351" s="67" t="n">
        <x:v>1.6</x:v>
      </x:c>
      <x:c r="K351" t="str">
        <x:v>Green</x:v>
      </x:c>
      <x:c r="L351" t="str">
        <x:v>2-0</x:v>
      </x:c>
      <x:c r="M351" s="66" t="n">
        <x:v>16</x:v>
      </x:c>
      <x:c r="N351" s="66" t="n">
        <x:v>6</x:v>
      </x:c>
      <x:c r="O351" s="68" t="n">
        <x:v>0.6</x:v>
      </x:c>
      <x:c r="P351" t="str">
        <x:v>Não</x:v>
      </x:c>
      <x:c r="Q351"/>
      <x:c r="R351" t="str">
        <x:v>Live</x:v>
      </x:c>
    </x:row>
    <x:row r="352" ht="15.75" customHeight="1">
      <x:c r="A352" t="str">
        <x:v>21026770642</x:v>
      </x:c>
      <x:c r="B352" t="str">
        <x:v>08/09/2026 11:48</x:v>
      </x:c>
      <x:c r="C352" t="str">
        <x:v>Aposta Esportiva</x:v>
      </x:c>
      <x:c r="D352" t="str">
        <x:v>Futebol</x:v>
      </x:c>
      <x:c r="E352" t="str">
        <x:v>AEK Atenas - Linzer ASK</x:v>
      </x:c>
      <x:c r="F352" t="str">
        <x:v>Criar Aposta</x:v>
      </x:c>
      <x:c r="G352" t="str">
        <x:v>Menos de 5.5 gols + Mais de 5.5 escanteios + Menos de 12.5 escanteios + Mais de 2.5 cartões</x:v>
      </x:c>
      <x:c r="H352" t="str">
        <x:v>Under gols + Escanteios + Cartões</x:v>
      </x:c>
      <x:c r="I352" s="66" t="n">
        <x:v>10</x:v>
      </x:c>
      <x:c r="J352" s="67" t="n">
        <x:v>1.8</x:v>
      </x:c>
      <x:c r="K352" t="str">
        <x:v>Green</x:v>
      </x:c>
      <x:c r="L352" t="str">
        <x:v>1-0</x:v>
      </x:c>
      <x:c r="M352" s="66" t="n">
        <x:v>18</x:v>
      </x:c>
      <x:c r="N352" s="66" t="n">
        <x:v>8</x:v>
      </x:c>
      <x:c r="O352" s="68" t="n">
        <x:v>0.8</x:v>
      </x:c>
      <x:c r="P352" t="str">
        <x:v>Não</x:v>
      </x:c>
      <x:c r="Q352" t="str">
        <x:v>CA combinado</x:v>
      </x:c>
      <x:c r="R352" t="str">
        <x:v>Pré-jogo</x:v>
      </x:c>
    </x:row>
    <x:row r="353" ht="15.75" customHeight="1">
      <x:c r="A353" t="str">
        <x:v>21026754472</x:v>
      </x:c>
      <x:c r="B353" t="str">
        <x:v>08/09/2026 11:45</x:v>
      </x:c>
      <x:c r="C353" t="str">
        <x:v>Aposta Esportiva</x:v>
      </x:c>
      <x:c r="D353" t="str">
        <x:v>Futebol</x:v>
      </x:c>
      <x:c r="E353" t="str">
        <x:v>Club Brugge KV - Aston Villa</x:v>
      </x:c>
      <x:c r="F353" t="str">
        <x:v>Criar Aposta</x:v>
      </x:c>
      <x:c r="G353" t="str">
        <x:v>Menos de 4.5 gols + Mais de 5.5 escanteios + Menos de 12.5 escanteios + Mais de 1.5 cartões</x:v>
      </x:c>
      <x:c r="H353" t="str">
        <x:v>Under gols + Escanteios + Cartões</x:v>
      </x:c>
      <x:c r="I353" s="66" t="n">
        <x:v>10</x:v>
      </x:c>
      <x:c r="J353" s="67" t="n">
        <x:v>1.72</x:v>
      </x:c>
      <x:c r="K353" t="str">
        <x:v>Red</x:v>
      </x:c>
      <x:c r="L353" t="str">
        <x:v>2-3</x:v>
      </x:c>
      <x:c r="M353" s="66" t="n">
        <x:v>0</x:v>
      </x:c>
      <x:c r="N353" s="66" t="n">
        <x:v>-10</x:v>
      </x:c>
      <x:c r="O353" s="68" t="n">
        <x:v>-1</x:v>
      </x:c>
      <x:c r="P353" t="str">
        <x:v>Não</x:v>
      </x:c>
      <x:c r="Q353" t="str">
        <x:v>CA combinado</x:v>
      </x:c>
      <x:c r="R353" t="str">
        <x:v>Pré-jogo</x:v>
      </x:c>
    </x:row>
    <x:row r="354" ht="15.75" customHeight="1">
      <x:c r="A354" t="str">
        <x:v>21026301812</x:v>
      </x:c>
      <x:c r="B354" t="str">
        <x:v>08/09/2026 10:24</x:v>
      </x:c>
      <x:c r="C354" t="str">
        <x:v>Aposta Esportiva</x:v>
      </x:c>
      <x:c r="D354" t="str">
        <x:v>Futebol</x:v>
      </x:c>
      <x:c r="E354" t="str">
        <x:v>NEC Nijmegen - Excelsior Rotterdam</x:v>
      </x:c>
      <x:c r="F354" t="str">
        <x:v>Criar Aposta</x:v>
      </x:c>
      <x:c r="G354" t="str">
        <x:v>1X + Mais de 1.5 + Menos de 5.5</x:v>
      </x:c>
      <x:c r="H354" t="str">
        <x:v>Chance dupla + Faixa de gols</x:v>
      </x:c>
      <x:c r="I354" s="66" t="n">
        <x:v>10</x:v>
      </x:c>
      <x:c r="J354" s="67" t="n">
        <x:v>1.57</x:v>
      </x:c>
      <x:c r="K354" t="str">
        <x:v>Green</x:v>
      </x:c>
      <x:c r="L354" t="str">
        <x:v>2-2</x:v>
      </x:c>
      <x:c r="M354" s="66" t="n">
        <x:v>15.7</x:v>
      </x:c>
      <x:c r="N354" s="66" t="n">
        <x:v>5.7</x:v>
      </x:c>
      <x:c r="O354" s="68" t="n">
        <x:v>0.57</x:v>
      </x:c>
      <x:c r="P354" t="str">
        <x:v>Não</x:v>
      </x:c>
      <x:c r="Q354" t="str">
        <x:v>CA combinado</x:v>
      </x:c>
      <x:c r="R354" t="str">
        <x:v>Pré-jogo</x:v>
      </x:c>
    </x:row>
    <x:row r="355" ht="15.75" customHeight="1">
      <x:c r="A355" t="str">
        <x:v>21026289882</x:v>
      </x:c>
      <x:c r="B355" t="str">
        <x:v>08/09/2026 10:22</x:v>
      </x:c>
      <x:c r="C355" t="str">
        <x:v>Aposta Esportiva</x:v>
      </x:c>
      <x:c r="D355" t="str">
        <x:v>Futebol</x:v>
      </x:c>
      <x:c r="E355" t="str">
        <x:v>AEK Atenas - Linzer ASK</x:v>
      </x:c>
      <x:c r="F355" t="str">
        <x:v>Criar Aposta</x:v>
      </x:c>
      <x:c r="G355" t="str">
        <x:v>1X + Mais de 1.5 + Menos de 5.5</x:v>
      </x:c>
      <x:c r="H355" t="str">
        <x:v>Chance dupla + Faixa de gols</x:v>
      </x:c>
      <x:c r="I355" s="66" t="n">
        <x:v>10</x:v>
      </x:c>
      <x:c r="J355" s="67" t="n">
        <x:v>1.65</x:v>
      </x:c>
      <x:c r="K355" t="str">
        <x:v>Red</x:v>
      </x:c>
      <x:c r="L355" t="str">
        <x:v>1-0</x:v>
      </x:c>
      <x:c r="M355" s="66" t="n">
        <x:v>0</x:v>
      </x:c>
      <x:c r="N355" s="66" t="n">
        <x:v>-10</x:v>
      </x:c>
      <x:c r="O355" s="68" t="n">
        <x:v>-1</x:v>
      </x:c>
      <x:c r="P355" t="str">
        <x:v>Não</x:v>
      </x:c>
      <x:c r="Q355" t="str">
        <x:v>CA combinado</x:v>
      </x:c>
      <x:c r="R355" t="str">
        <x:v>Pré-jogo</x:v>
      </x:c>
    </x:row>
    <x:row r="356" ht="15.75" customHeight="1">
      <x:c r="A356" t="str">
        <x:v>21026267632</x:v>
      </x:c>
      <x:c r="B356" t="str">
        <x:v>08/09/2026 10:17</x:v>
      </x:c>
      <x:c r="C356" t="str">
        <x:v>Aposta Esportiva</x:v>
      </x:c>
      <x:c r="D356" t="str">
        <x:v>Futebol</x:v>
      </x:c>
      <x:c r="E356" t="str">
        <x:v>Club Brugge KV - Aston Villa</x:v>
      </x:c>
      <x:c r="F356" t="str">
        <x:v>Criar Aposta</x:v>
      </x:c>
      <x:c r="G356" t="str">
        <x:v>Menos de 4.5 + 1X + Mais de 0.5</x:v>
      </x:c>
      <x:c r="H356" t="str">
        <x:v>Faixa de gols + Chance dupla</x:v>
      </x:c>
      <x:c r="I356" s="66" t="n">
        <x:v>10</x:v>
      </x:c>
      <x:c r="J356" s="67" t="n">
        <x:v>1.95</x:v>
      </x:c>
      <x:c r="K356" t="str">
        <x:v>Red</x:v>
      </x:c>
      <x:c r="L356" t="str">
        <x:v>2-3</x:v>
      </x:c>
      <x:c r="M356" s="66" t="n">
        <x:v>0</x:v>
      </x:c>
      <x:c r="N356" s="66" t="n">
        <x:v>-10</x:v>
      </x:c>
      <x:c r="O356" s="68" t="n">
        <x:v>-1</x:v>
      </x:c>
      <x:c r="P356" t="str">
        <x:v>Não</x:v>
      </x:c>
      <x:c r="Q356" t="str">
        <x:v>CA combinado</x:v>
      </x:c>
      <x:c r="R356" t="str">
        <x:v>Pré-jogo</x:v>
      </x:c>
    </x:row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N2:N51">
    <x:cfRule type="expression" dxfId="5" priority="1">
      <x:formula>N2&gt;0</x:formula>
    </x:cfRule>
  </x:conditionalFormatting>
  <x:conditionalFormatting sqref="N2:N51">
    <x:cfRule type="expression" dxfId="6" priority="2">
      <x:formula>N2&lt;0</x:formula>
    </x:cfRule>
  </x:conditionalFormatting>
  <x:conditionalFormatting sqref="K2:K51">
    <x:cfRule type="expression" dxfId="7" priority="3">
      <x:formula>K2="Ganhou"</x:formula>
    </x:cfRule>
  </x:conditionalFormatting>
  <x:conditionalFormatting sqref="K2:K51">
    <x:cfRule type="expression" dxfId="8" priority="4">
      <x:formula>K2="Perdida"</x:formula>
    </x:cfRule>
  </x:conditionalFormatting>
  <x:conditionalFormatting sqref="K2:K51">
    <x:cfRule type="expression" dxfId="9" priority="5">
      <x:formula>K2="Cash Out"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5b24f9689e784c99"/>
    <x:tablePart xmlns:r="http://schemas.openxmlformats.org/officeDocument/2006/relationships" r:id="R7d7a48f570ab477c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4.75" customWidth="1"/>
    <x:col min="2" max="2" width="14" customWidth="1"/>
    <x:col min="3" max="3" width="14.880000114440918" customWidth="1"/>
    <x:col min="4" max="4" width="20.8799991607666" customWidth="1"/>
    <x:col min="5" max="5" width="13.630000114440918" customWidth="1"/>
    <x:col min="6" max="6" width="58" customWidth="1"/>
    <x:col min="7" max="26" width="8.630000114440918" customWidth="1"/>
  </x:cols>
  <x:sheetData>
    <x:row r="1">
      <x:c r="A1" s="3" t="s">
        <x:v>0</x:v>
      </x:c>
      <x:c r="B1" s="3" t="s">
        <x:v>1</x:v>
      </x:c>
      <x:c r="C1" s="3" t="s">
        <x:v>988</x:v>
      </x:c>
      <x:c r="D1" s="3" t="s">
        <x:v>989</x:v>
      </x:c>
      <x:c r="E1" s="3" t="s">
        <x:v>990</x:v>
      </x:c>
      <x:c r="F1" s="3" t="s">
        <x:v>991</x:v>
      </x:c>
    </x:row>
    <x:row r="2">
      <x:c r="A2" s="4" t="s">
        <x:v>992</x:v>
      </x:c>
      <x:c r="B2" s="5">
        <x:v>46256.0</x:v>
      </x:c>
      <x:c r="C2" s="4" t="s">
        <x:v>993</x:v>
      </x:c>
      <x:c r="D2" s="6">
        <x:v>93.85</x:v>
      </x:c>
      <x:c r="E2" s="6">
        <x:v>0.0</x:v>
      </x:c>
      <x:c r="F2" s="4" t="s">
        <x:v>994</x:v>
      </x:c>
    </x:row>
    <x:row r="3">
      <x:c r="A3" s="4" t="s">
        <x:v>995</x:v>
      </x:c>
      <x:c r="B3" s="5">
        <x:v>46256.99652777778</x:v>
      </x:c>
      <x:c r="C3" s="4" t="s">
        <x:v>996</x:v>
      </x:c>
      <x:c r="D3" s="6">
        <x:v>116.44</x:v>
      </x:c>
      <x:c r="E3" s="6">
        <x:v>0.0</x:v>
      </x:c>
      <x:c r="F3" s="4" t="s">
        <x:v>997</x:v>
      </x:c>
    </x:row>
    <x:row r="4">
      <x:c r="A4" s="7" t="s">
        <x:v>998</x:v>
      </x:c>
      <x:c r="B4" s="8">
        <x:v>46257.0</x:v>
      </x:c>
      <x:c r="C4" s="7" t="s">
        <x:v>993</x:v>
      </x:c>
      <x:c r="D4" s="9">
        <x:v>116.44</x:v>
      </x:c>
      <x:c r="E4" s="9">
        <x:v>0.0</x:v>
      </x:c>
      <x:c r="F4" s="7" t="s">
        <x:v>999</x:v>
      </x:c>
    </x:row>
    <x:row r="5">
      <x:c r="A5" s="7" t="s">
        <x:v>1000</x:v>
      </x:c>
      <x:c r="B5" s="8">
        <x:v>46257.99652777778</x:v>
      </x:c>
      <x:c r="C5" s="7" t="s">
        <x:v>993</x:v>
      </x:c>
      <x:c r="D5" s="9">
        <x:v>127.79</x:v>
      </x:c>
      <x:c r="E5" s="9">
        <x:v>0.0</x:v>
      </x:c>
      <x:c r="F5" s="7" t="s">
        <x:v>1001</x:v>
      </x:c>
    </x:row>
    <x:row r="6">
      <x:c r="A6" s="1" t="s">
        <x:v>1002</x:v>
      </x:c>
      <x:c r="B6" s="10" t="s">
        <x:v>108</x:v>
      </x:c>
      <x:c r="C6" s="1" t="s">
        <x:v>993</x:v>
      </x:c>
      <x:c r="D6" s="1">
        <x:v>100.22</x:v>
      </x:c>
      <x:c r="E6" s="1">
        <x:v>0.0</x:v>
      </x:c>
      <x:c r="F6" s="1" t="s">
        <x:v>1003</x:v>
      </x:c>
    </x:row>
    <x:row r="7">
      <x:c r="A7" s="1" t="s">
        <x:v>1004</x:v>
      </x:c>
      <x:c r="B7" s="10" t="s">
        <x:v>1005</x:v>
      </x:c>
      <x:c r="C7" s="1" t="s">
        <x:v>993</x:v>
      </x:c>
      <x:c r="D7" s="1">
        <x:v>84.78</x:v>
      </x:c>
      <x:c r="E7" s="1">
        <x:v>0.0</x:v>
      </x:c>
      <x:c r="F7" s="1" t="s">
        <x:v>1006</x:v>
      </x:c>
    </x:row>
    <x:row r="8">
      <x:c r="A8" s="1" t="s">
        <x:v>1007</x:v>
      </x:c>
      <x:c r="B8" s="10" t="s">
        <x:v>1008</x:v>
      </x:c>
      <x:c r="C8" s="1" t="s">
        <x:v>993</x:v>
      </x:c>
      <x:c r="D8" s="1">
        <x:v>84.78</x:v>
      </x:c>
      <x:c r="E8" s="1">
        <x:v>0.0</x:v>
      </x:c>
      <x:c r="F8" s="1" t="s">
        <x:v>1009</x:v>
      </x:c>
    </x:row>
    <x:row r="9">
      <x:c r="A9" s="1" t="s">
        <x:v>1010</x:v>
      </x:c>
      <x:c r="B9" s="10" t="s">
        <x:v>1011</x:v>
      </x:c>
      <x:c r="C9" s="1" t="s">
        <x:v>993</x:v>
      </x:c>
      <x:c r="D9" s="1">
        <x:v>103.85</x:v>
      </x:c>
      <x:c r="E9" s="1">
        <x:v>0.0</x:v>
      </x:c>
      <x:c r="F9" s="1" t="s">
        <x:v>1012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2">
    <x:tablePart xmlns:r="http://schemas.openxmlformats.org/officeDocument/2006/relationships" r:id="Rd301265465854965"/>
    <x:tablePart xmlns:r="http://schemas.openxmlformats.org/officeDocument/2006/relationships" r:id="R3ccaa87e3df7400c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31" customWidth="1"/>
    <x:col min="2" max="2" width="18" customWidth="1"/>
    <x:col min="3" max="3" width="8.630000114440918" customWidth="1"/>
    <x:col min="4" max="4" width="24" customWidth="1"/>
    <x:col min="5" max="5" width="14" customWidth="1"/>
    <x:col min="6" max="8" width="16" customWidth="1"/>
    <x:col min="9" max="9" width="14" customWidth="1"/>
    <x:col min="10" max="11" width="18.25" customWidth="1"/>
    <x:col min="12" max="17" width="8.630000114440918" customWidth="1"/>
    <x:col min="18" max="19" width="18.25" customWidth="1"/>
    <x:col min="20" max="26" width="8.630000114440918" customWidth="1"/>
  </x:cols>
  <x:sheetData>
    <x:row r="1">
      <x:c r="A1" s="13" t="s">
        <x:v>1013</x:v>
      </x:c>
    </x:row>
    <x:row r="3">
      <x:c r="A3" s="14" t="s">
        <x:v>1014</x:v>
      </x:c>
      <x:c r="B3" s="14" t="s">
        <x:v>989</x:v>
      </x:c>
      <x:c r="D3" s="14" t="s">
        <x:v>7</x:v>
      </x:c>
      <x:c r="E3" s="14" t="s">
        <x:v>1015</x:v>
      </x:c>
      <x:c r="F3" s="14" t="s">
        <x:v>1016</x:v>
      </x:c>
      <x:c r="G3" s="14" t="s">
        <x:v>1017</x:v>
      </x:c>
      <x:c r="H3" s="14" t="s">
        <x:v>1018</x:v>
      </x:c>
      <x:c r="J3" s="1" t="s">
        <x:v>1019</x:v>
      </x:c>
      <x:c r="K3" s="1">
        <x:v>100.0</x:v>
      </x:c>
      <x:c r="R3" s="15" t="s">
        <x:v>1020</x:v>
      </x:c>
      <x:c r="S3" s="15" t="s">
        <x:v>1021</x:v>
      </x:c>
    </x:row>
    <x:row r="4">
      <x:c r="A4" s="1" t="s">
        <x:v>1022</x:v>
      </x:c>
      <x:c r="B4" s="1" t="n">
        <x:v>334</x:v>
      </x:c>
      <x:c r="D4" s="1" t="s">
        <x:v>34</x:v>
      </x:c>
      <x:c r="E4" s="2" t="n">
        <x:f>COUNTIF(Eventos!H2:H1000,D4)</x:f>
        <x:v>20</x:v>
      </x:c>
      <x:c r="F4" s="2" t="n">
        <x:f>SUMIF(Eventos!H2:H1000,D4,Eventos!I2:I1000)</x:f>
        <x:v>150</x:v>
      </x:c>
      <x:c r="G4" s="2" t="n">
        <x:f>SUMIF(Eventos!H2:H1000,D4,Eventos!N2:N1000)</x:f>
        <x:v>38.65</x:v>
      </x:c>
      <x:c r="H4" s="2" t="n">
        <x:f t="shared" ref="H4:H10" si="1">IFERROR(G4/F4,0)</x:f>
        <x:v>0.25766666666666665</x:v>
      </x:c>
      <x:c r="J4" s="1" t="n">
        <x:v>328.86</x:v>
      </x:c>
      <x:c r="K4" s="16" t="n">
        <x:f>B7</x:f>
        <x:v>328.86</x:v>
      </x:c>
      <x:c r="R4" s="17" t="n">
        <x:f>SUBTOTAL(109,Eventos!M2:M1000)</x:f>
        <x:v>3699.269999999999</x:v>
      </x:c>
      <x:c r="S4" s="17" t="n">
        <x:f>SUBTOTAL(109,Eventos!N2:N1000)</x:f>
        <x:v>328.8599999999999</x:v>
      </x:c>
    </x:row>
    <x:row r="5">
      <x:c r="A5" s="1" t="s">
        <x:v>1023</x:v>
      </x:c>
      <x:c r="B5" s="18" t="n">
        <x:v>3370.41</x:v>
      </x:c>
      <x:c r="D5" s="1" t="s">
        <x:v>23</x:v>
      </x:c>
      <x:c r="E5" s="2" t="n">
        <x:f>COUNTIF(Eventos!H2:H1000,D5)</x:f>
        <x:v>91</x:v>
      </x:c>
      <x:c r="F5" s="2" t="n">
        <x:f>SUMIF(Eventos!H2:H1000,D5,Eventos!I2:I1000)</x:f>
        <x:v>856.14</x:v>
      </x:c>
      <x:c r="G5" s="2" t="n">
        <x:f>SUMIF(Eventos!H2:H1000,D5,Eventos!N2:N1000)</x:f>
        <x:v>194.99999999999994</x:v>
      </x:c>
      <x:c r="H5" s="2">
        <x:f t="shared" si="1"/>
        <x:v>0.2222115914</x:v>
      </x:c>
      <x:c r="J5" s="1" t="n">
        <x:v>428.86</x:v>
      </x:c>
      <x:c r="K5" s="16" t="n">
        <x:f>K3+K4</x:f>
        <x:v>428.86</x:v>
      </x:c>
    </x:row>
    <x:row r="6">
      <x:c r="A6" s="1" t="s">
        <x:v>1024</x:v>
      </x:c>
      <x:c r="B6" s="18" t="n">
        <x:v>3699.27</x:v>
      </x:c>
      <x:c r="D6" s="1" t="s">
        <x:v>80</x:v>
      </x:c>
      <x:c r="E6" s="2" t="n">
        <x:f>COUNTIF(Eventos!H2:H1000,D6)</x:f>
        <x:v>49</x:v>
      </x:c>
      <x:c r="F6" s="2" t="n">
        <x:f>SUMIF(Eventos!H2:H1000,D6,Eventos!I2:I1000)</x:f>
        <x:v>458.2</x:v>
      </x:c>
      <x:c r="G6" s="2" t="n">
        <x:f>SUMIF(Eventos!H2:H1000,D6,Eventos!N2:N1000)</x:f>
        <x:v>-69.3</x:v>
      </x:c>
      <x:c r="H6" s="2">
        <x:f t="shared" si="1"/>
        <x:v>-0.1323070058</x:v>
      </x:c>
      <x:c r="J6" s="1" t="s">
        <x:v>1025</x:v>
      </x:c>
      <x:c r="K6" s="1" t="s">
        <x:v>1026</x:v>
      </x:c>
    </x:row>
    <x:row r="7">
      <x:c r="A7" s="1" t="s">
        <x:v>1027</x:v>
      </x:c>
      <x:c r="B7" s="18" t="n">
        <x:v>328.86</x:v>
      </x:c>
      <x:c r="D7" s="1" t="s">
        <x:v>104</x:v>
      </x:c>
      <x:c r="E7" s="2" t="n">
        <x:f>COUNTIF(Eventos!H2:H1000,D7)</x:f>
        <x:v>45</x:v>
      </x:c>
      <x:c r="F7" s="2" t="n">
        <x:f>SUMIF(Eventos!H2:H1000,D7,Eventos!I2:I1000)</x:f>
        <x:v>440.5</x:v>
      </x:c>
      <x:c r="G7" s="2" t="n">
        <x:f>SUMIF(Eventos!H2:H1000,D7,Eventos!N2:N1000)</x:f>
        <x:v>-58.19999999999999</x:v>
      </x:c>
      <x:c r="H7" s="2">
        <x:f t="shared" si="1"/>
        <x:v>-0.144018583</x:v>
      </x:c>
    </x:row>
    <x:row r="8">
      <x:c r="A8" s="1" t="s">
        <x:v>1028</x:v>
      </x:c>
      <x:c r="B8" s="1" t="n">
        <x:v>0.09757269887046384</x:v>
      </x:c>
      <x:c r="D8" s="1" t="s">
        <x:v>141</x:v>
      </x:c>
      <x:c r="E8" s="2" t="n">
        <x:f>COUNTIF(Eventos!H2:H1000,D8)</x:f>
        <x:v>9</x:v>
      </x:c>
      <x:c r="F8" s="2" t="n">
        <x:f>SUMIF(Eventos!H2:H1000,D8,Eventos!I2:I1000)</x:f>
        <x:v>113</x:v>
      </x:c>
      <x:c r="G8" s="2" t="n">
        <x:f>SUMIF(Eventos!H2:H1000,D8,Eventos!N2:N1000)</x:f>
        <x:v>17.46</x:v>
      </x:c>
      <x:c r="H8" s="2">
        <x:f t="shared" si="1"/>
        <x:v>0.1545132743</x:v>
      </x:c>
    </x:row>
    <x:row r="9">
      <x:c r="A9" s="1" t="s">
        <x:v>1029</x:v>
      </x:c>
      <x:c r="B9" s="1" t="n">
        <x:v>208</x:v>
      </x:c>
      <x:c r="D9" s="1" t="s">
        <x:v>133</x:v>
      </x:c>
      <x:c r="E9" s="2" t="n">
        <x:f>COUNTIF(Eventos!H2:H1000,D9)</x:f>
        <x:v>1</x:v>
      </x:c>
      <x:c r="F9" s="2" t="n">
        <x:f>SUMIF(Eventos!H2:H1000,D9,Eventos!I2:I1000)</x:f>
        <x:v>10</x:v>
      </x:c>
      <x:c r="G9" s="2" t="n">
        <x:f>SUMIF(Eventos!H2:H1000,D9,Eventos!N2:N1000)</x:f>
        <x:v>0</x:v>
      </x:c>
      <x:c r="H9" s="2">
        <x:f t="shared" si="1"/>
        <x:v>0</x:v>
      </x:c>
    </x:row>
    <x:row r="10">
      <x:c r="A10" s="1" t="s">
        <x:v>1030</x:v>
      </x:c>
      <x:c r="B10" s="1" t="n">
        <x:v>122</x:v>
      </x:c>
      <x:c r="D10" s="1" t="s">
        <x:v>235</x:v>
      </x:c>
      <x:c r="E10" s="2" t="n">
        <x:f>COUNTIF(Eventos!H2:H1000,D10)</x:f>
        <x:v>8</x:v>
      </x:c>
      <x:c r="F10" s="2" t="n">
        <x:f>SUMIF(Eventos!H2:H1000,D10,Eventos!I2:I1000)</x:f>
        <x:v>80</x:v>
      </x:c>
      <x:c r="G10" s="2" t="n">
        <x:f>SUMIF(Eventos!H2:H1000,D10,Eventos!N2:N1000)</x:f>
        <x:v>2.0999999999999988</x:v>
      </x:c>
      <x:c r="H10" s="2">
        <x:f t="shared" si="1"/>
        <x:v>-0.322</x:v>
      </x:c>
    </x:row>
    <x:row r="11">
      <x:c r="A11" s="1" t="s">
        <x:v>1031</x:v>
      </x:c>
      <x:c r="B11" s="2" t="n">
        <x:v>14</x:v>
      </x:c>
    </x:row>
    <x:row r="12">
      <x:c r="A12" s="1" t="s">
        <x:v>1032</x:v>
      </x:c>
      <x:c r="B12" s="1" t="n">
        <x:v>0.6303030303030303</x:v>
      </x:c>
    </x:row>
    <x:row r="13">
      <x:c r="A13" s="1" t="s">
        <x:v>1033</x:v>
      </x:c>
      <x:c r="B13" s="1" t="n">
        <x:v>1.7296562050658681</x:v>
      </x:c>
    </x:row>
    <x:row r="15">
      <x:c r="A15" s="20" t="s">
        <x:v>1034</x:v>
      </x:c>
    </x:row>
    <x:row r="16">
      <x:c r="A16" s="14" t="s">
        <x:v>1035</x:v>
      </x:c>
      <x:c r="I16" s="14" t="s">
        <x:v>1018</x:v>
      </x:c>
    </x:row>
    <x:row r="17">
      <x:c r="A17" s="10" t="s">
        <x:v>1036</x:v>
      </x:c>
      <x:c r="B17" s="2" t="e">
        <x:f>IFERROR(__xludf.DUMMYFUNCTION("SUMPRODUCT(--(LEFT(TO_TEXT(Eventos!B$2:B$1000),10)=A17))"),16.0)</x:f>
        <x:v>#NAME?</x:v>
      </x:c>
      <x:c r="C17" s="2" t="e">
        <x:f>IFERROR(__xludf.DUMMYFUNCTION("SUMPRODUCT(--(LEFT(TO_TEXT(Eventos!B$2:B$1000),10)=A17),--(Eventos!K$2:K$1000=""Ganhou""))"),9.0)</x:f>
        <x:v>#NAME?</x:v>
      </x:c>
      <x:c r="D17" s="2" t="e">
        <x:f>IFERROR(__xludf.DUMMYFUNCTION("SUMPRODUCT(--(LEFT(TO_TEXT(Eventos!B$2:B$1000),10)=A17),--(Eventos!K$2:K$1000=""Perdida""))"),7.0)</x:f>
        <x:v>#NAME?</x:v>
      </x:c>
      <x:c r="E17" s="2" t="e">
        <x:f>IFERROR(__xludf.DUMMYFUNCTION("SUMPRODUCT(--(LEFT(TO_TEXT(Eventos!B$2:B$1000),10)=A17),--(Eventos!K$2:K$1000=""Cash Out""))"),0.0)</x:f>
        <x:v>#NAME?</x:v>
      </x:c>
      <x:c r="F17" s="2" t="e">
        <x:f>IFERROR(__xludf.DUMMYFUNCTION("SUMPRODUCT(--(LEFT(TO_TEXT(Eventos!B$2:B$1000),10)=A17),Eventos!I$2:I$1000)"),165.0)</x:f>
        <x:v>#NAME?</x:v>
      </x:c>
      <x:c r="G17" s="2" t="e">
        <x:f>IFERROR(__xludf.DUMMYFUNCTION("SUMPRODUCT(--(LEFT(TO_TEXT(Eventos!B$2:B$1000),10)=A17),Eventos!M$2:M$1000)"),156.64999999999998)</x:f>
        <x:v>#NAME?</x:v>
      </x:c>
      <x:c r="H17" s="2" t="e">
        <x:f>IFERROR(__xludf.DUMMYFUNCTION("SUMPRODUCT(--(LEFT(TO_TEXT(Eventos!B$2:B$1000),10)=A17),Eventos!N$2:N$1000)"),-8.35)</x:f>
        <x:v>#NAME?</x:v>
      </x:c>
      <x:c r="I17" s="2" t="n">
        <x:f t="shared" ref="I17:I29" si="2">IFERROR(H17/F17,0)</x:f>
        <x:v>0</x:v>
      </x:c>
    </x:row>
    <x:row r="18">
      <x:c r="A18" s="10" t="s">
        <x:v>1037</x:v>
      </x:c>
      <x:c r="B18" s="2" t="e">
        <x:f>IFERROR(__xludf.DUMMYFUNCTION("SUMPRODUCT(--(LEFT(TO_TEXT(Eventos!B$2:B$1000),10)=A18))"),4.0)</x:f>
        <x:v>#NAME?</x:v>
      </x:c>
      <x:c r="C18" s="2" t="e">
        <x:f>IFERROR(__xludf.DUMMYFUNCTION("SUMPRODUCT(--(LEFT(TO_TEXT(Eventos!B$2:B$1000),10)=A18),--(Eventos!K$2:K$1000=""Ganhou""))"),3.0)</x:f>
        <x:v>#NAME?</x:v>
      </x:c>
      <x:c r="D18" s="2" t="e">
        <x:f>IFERROR(__xludf.DUMMYFUNCTION("SUMPRODUCT(--(LEFT(TO_TEXT(Eventos!B$2:B$1000),10)=A18),--(Eventos!K$2:K$1000=""Perdida""))"),1.0)</x:f>
        <x:v>#NAME?</x:v>
      </x:c>
      <x:c r="E18" s="2" t="e">
        <x:f>IFERROR(__xludf.DUMMYFUNCTION("SUMPRODUCT(--(LEFT(TO_TEXT(Eventos!B$2:B$1000),10)=A18),--(Eventos!K$2:K$1000=""Cash Out""))"),0.0)</x:f>
        <x:v>#NAME?</x:v>
      </x:c>
      <x:c r="F18" s="2" t="e">
        <x:f>IFERROR(__xludf.DUMMYFUNCTION("SUMPRODUCT(--(LEFT(TO_TEXT(Eventos!B$2:B$1000),10)=A18),Eventos!I$2:I$1000)"),50.0)</x:f>
        <x:v>#NAME?</x:v>
      </x:c>
      <x:c r="G18" s="2" t="e">
        <x:f>IFERROR(__xludf.DUMMYFUNCTION("SUMPRODUCT(--(LEFT(TO_TEXT(Eventos!B$2:B$1000),10)=A18),Eventos!M$2:M$1000)"),95.4)</x:f>
        <x:v>#NAME?</x:v>
      </x:c>
      <x:c r="H18" s="2" t="e">
        <x:f>IFERROR(__xludf.DUMMYFUNCTION("SUMPRODUCT(--(LEFT(TO_TEXT(Eventos!B$2:B$1000),10)=A18),Eventos!N$2:N$1000)"),45.4)</x:f>
        <x:v>#NAME?</x:v>
      </x:c>
      <x:c r="I18" s="2">
        <x:f t="shared" si="2"/>
        <x:v>0.908</x:v>
      </x:c>
    </x:row>
    <x:row r="19">
      <x:c r="A19" s="10" t="s">
        <x:v>1038</x:v>
      </x:c>
      <x:c r="B19" s="2" t="e">
        <x:f>IFERROR(__xludf.DUMMYFUNCTION("SUMPRODUCT(--(LEFT(TO_TEXT(Eventos!B$2:B$1000),10)=A19))"),0.0)</x:f>
        <x:v>#NAME?</x:v>
      </x:c>
      <x:c r="C19" s="2" t="e">
        <x:f>IFERROR(__xludf.DUMMYFUNCTION("SUMPRODUCT(--(LEFT(TO_TEXT(Eventos!B$2:B$1000),10)=A19),--(Eventos!K$2:K$1000=""Ganhou""))"),0.0)</x:f>
        <x:v>#NAME?</x:v>
      </x:c>
      <x:c r="D19" s="2" t="e">
        <x:f>IFERROR(__xludf.DUMMYFUNCTION("SUMPRODUCT(--(LEFT(TO_TEXT(Eventos!B$2:B$1000),10)=A19),--(Eventos!K$2:K$1000=""Perdida""))"),0.0)</x:f>
        <x:v>#NAME?</x:v>
      </x:c>
      <x:c r="E19" s="2" t="e">
        <x:f>IFERROR(__xludf.DUMMYFUNCTION("SUMPRODUCT(--(LEFT(TO_TEXT(Eventos!B$2:B$1000),10)=A19),--(Eventos!K$2:K$1000=""Cash Out""))"),0.0)</x:f>
        <x:v>#NAME?</x:v>
      </x:c>
      <x:c r="F19" s="2" t="e">
        <x:f>IFERROR(__xludf.DUMMYFUNCTION("SUMPRODUCT(--(LEFT(TO_TEXT(Eventos!B$2:B$1000),10)=A19),Eventos!I$2:I$1000)"),0.0)</x:f>
        <x:v>#NAME?</x:v>
      </x:c>
      <x:c r="G19" s="2" t="e">
        <x:f>IFERROR(__xludf.DUMMYFUNCTION("SUMPRODUCT(--(LEFT(TO_TEXT(Eventos!B$2:B$1000),10)=A19),Eventos!M$2:M$1000)"),0.0)</x:f>
        <x:v>#NAME?</x:v>
      </x:c>
      <x:c r="H19" s="2" t="e">
        <x:f>IFERROR(__xludf.DUMMYFUNCTION("SUMPRODUCT(--(LEFT(TO_TEXT(Eventos!B$2:B$1000),10)=A19),Eventos!N$2:N$1000)"),0.0)</x:f>
        <x:v>#NAME?</x:v>
      </x:c>
      <x:c r="I19" s="2">
        <x:f t="shared" si="2"/>
        <x:v>0</x:v>
      </x:c>
    </x:row>
    <x:row r="20">
      <x:c r="A20" s="10" t="s">
        <x:v>1039</x:v>
      </x:c>
      <x:c r="B20" s="2" t="e">
        <x:f>IFERROR(__xludf.DUMMYFUNCTION("SUMPRODUCT(--(LEFT(TO_TEXT(Eventos!B$2:B$1000),10)=A20))"),9.0)</x:f>
        <x:v>#NAME?</x:v>
      </x:c>
      <x:c r="C20" s="2" t="e">
        <x:f>IFERROR(__xludf.DUMMYFUNCTION("SUMPRODUCT(--(LEFT(TO_TEXT(Eventos!B$2:B$1000),10)=A20),--(Eventos!K$2:K$1000=""Ganhou""))"),5.0)</x:f>
        <x:v>#NAME?</x:v>
      </x:c>
      <x:c r="D20" s="2" t="e">
        <x:f>IFERROR(__xludf.DUMMYFUNCTION("SUMPRODUCT(--(LEFT(TO_TEXT(Eventos!B$2:B$1000),10)=A20),--(Eventos!K$2:K$1000=""Perdida""))"),1.0)</x:f>
        <x:v>#NAME?</x:v>
      </x:c>
      <x:c r="E20" s="2" t="e">
        <x:f>IFERROR(__xludf.DUMMYFUNCTION("SUMPRODUCT(--(LEFT(TO_TEXT(Eventos!B$2:B$1000),10)=A20),--(Eventos!K$2:K$1000=""Cash Out""))"),3.0)</x:f>
        <x:v>#NAME?</x:v>
      </x:c>
      <x:c r="F20" s="2" t="e">
        <x:f>IFERROR(__xludf.DUMMYFUNCTION("SUMPRODUCT(--(LEFT(TO_TEXT(Eventos!B$2:B$1000),10)=A20),Eventos!I$2:I$1000)"),67.0)</x:f>
        <x:v>#NAME?</x:v>
      </x:c>
      <x:c r="G20" s="2" t="e">
        <x:f>IFERROR(__xludf.DUMMYFUNCTION("SUMPRODUCT(--(LEFT(TO_TEXT(Eventos!B$2:B$1000),10)=A20),Eventos!M$2:M$1000)"),89.59)</x:f>
        <x:v>#NAME?</x:v>
      </x:c>
      <x:c r="H20" s="2" t="e">
        <x:f>IFERROR(__xludf.DUMMYFUNCTION("SUMPRODUCT(--(LEFT(TO_TEXT(Eventos!B$2:B$1000),10)=A20),Eventos!N$2:N$1000)"),22.589999999999996)</x:f>
        <x:v>#NAME?</x:v>
      </x:c>
      <x:c r="I20" s="2">
        <x:f t="shared" si="2"/>
        <x:v>0.3371641791</x:v>
      </x:c>
    </x:row>
    <x:row r="21" ht="15.75" customHeight="1">
      <x:c r="A21" s="10" t="s">
        <x:v>1040</x:v>
      </x:c>
      <x:c r="B21" s="2" t="e">
        <x:f>IFERROR(__xludf.DUMMYFUNCTION("SUMPRODUCT(--(LEFT(TO_TEXT(Eventos!B$2:B$1000),10)=A21))"),11.0)</x:f>
        <x:v>#NAME?</x:v>
      </x:c>
      <x:c r="C21" s="2" t="e">
        <x:f>IFERROR(__xludf.DUMMYFUNCTION("SUMPRODUCT(--(LEFT(TO_TEXT(Eventos!B$2:B$1000),10)=A21),--(Eventos!K$2:K$1000=""Ganhou""))"),6.0)</x:f>
        <x:v>#NAME?</x:v>
      </x:c>
      <x:c r="D21" s="2" t="e">
        <x:f>IFERROR(__xludf.DUMMYFUNCTION("SUMPRODUCT(--(LEFT(TO_TEXT(Eventos!B$2:B$1000),10)=A21),--(Eventos!K$2:K$1000=""Perdida""))"),5.0)</x:f>
        <x:v>#NAME?</x:v>
      </x:c>
      <x:c r="E21" s="2" t="e">
        <x:f>IFERROR(__xludf.DUMMYFUNCTION("SUMPRODUCT(--(LEFT(TO_TEXT(Eventos!B$2:B$1000),10)=A21),--(Eventos!K$2:K$1000=""Cash Out""))"),0.0)</x:f>
        <x:v>#NAME?</x:v>
      </x:c>
      <x:c r="F21" s="2" t="e">
        <x:f>IFERROR(__xludf.DUMMYFUNCTION("SUMPRODUCT(--(LEFT(TO_TEXT(Eventos!B$2:B$1000),10)=A21),Eventos!I$2:I$1000)"),72.0)</x:f>
        <x:v>#NAME?</x:v>
      </x:c>
      <x:c r="G21" s="2" t="e">
        <x:f>IFERROR(__xludf.DUMMYFUNCTION("SUMPRODUCT(--(LEFT(TO_TEXT(Eventos!B$2:B$1000),10)=A21),Eventos!M$2:M$1000)"),83.35)</x:f>
        <x:v>#NAME?</x:v>
      </x:c>
      <x:c r="H21" s="2" t="e">
        <x:f>IFERROR(__xludf.DUMMYFUNCTION("SUMPRODUCT(--(LEFT(TO_TEXT(Eventos!B$2:B$1000),10)=A21),Eventos!N$2:N$1000)"),11.350000000000001)</x:f>
        <x:v>#NAME?</x:v>
      </x:c>
      <x:c r="I21" s="2">
        <x:f t="shared" si="2"/>
        <x:v>0.1576388889</x:v>
      </x:c>
    </x:row>
    <x:row r="22" ht="15.75" customHeight="1">
      <x:c r="A22" s="10" t="s">
        <x:v>1041</x:v>
      </x:c>
      <x:c r="B22" s="2" t="e">
        <x:f>IFERROR(__xludf.DUMMYFUNCTION("SUMPRODUCT(--(LEFT(TO_TEXT(Eventos!B$2:B$1000),10)=A22))"),16.0)</x:f>
        <x:v>#NAME?</x:v>
      </x:c>
      <x:c r="C22" s="2" t="e">
        <x:f>IFERROR(__xludf.DUMMYFUNCTION("SUMPRODUCT(--(LEFT(TO_TEXT(Eventos!B$2:B$1000),10)=A22),--(Eventos!K$2:K$1000=""Ganhou""))"),0.0)</x:f>
        <x:v>#NAME?</x:v>
      </x:c>
      <x:c r="D22" s="2" t="e">
        <x:f>IFERROR(__xludf.DUMMYFUNCTION("SUMPRODUCT(--(LEFT(TO_TEXT(Eventos!B$2:B$1000),10)=A22),--(Eventos!K$2:K$1000=""Perdida""))"),0.0)</x:f>
        <x:v>#NAME?</x:v>
      </x:c>
      <x:c r="E22" s="2" t="e">
        <x:f>IFERROR(__xludf.DUMMYFUNCTION("SUMPRODUCT(--(LEFT(TO_TEXT(Eventos!B$2:B$1000),10)=A22),--(Eventos!K$2:K$1000=""Cash Out""))"),0.0)</x:f>
        <x:v>#NAME?</x:v>
      </x:c>
      <x:c r="F22" s="2" t="e">
        <x:f>IFERROR(__xludf.DUMMYFUNCTION("SUMPRODUCT(--(LEFT(TO_TEXT(Eventos!B$2:B$1000),10)=A22),Eventos!I$2:I$1000)"),115.0)</x:f>
        <x:v>#NAME?</x:v>
      </x:c>
      <x:c r="G22" s="2" t="e">
        <x:f>IFERROR(__xludf.DUMMYFUNCTION("SUMPRODUCT(--(LEFT(TO_TEXT(Eventos!B$2:B$1000),10)=A22),Eventos!M$2:M$1000)"),182.39999999999998)</x:f>
        <x:v>#NAME?</x:v>
      </x:c>
      <x:c r="H22" s="2" t="e">
        <x:f>IFERROR(__xludf.DUMMYFUNCTION("SUMPRODUCT(--(LEFT(TO_TEXT(Eventos!B$2:B$1000),10)=A22),Eventos!N$2:N$1000)"),67.4)</x:f>
        <x:v>#NAME?</x:v>
      </x:c>
      <x:c r="I22" s="2">
        <x:f t="shared" si="2"/>
        <x:v>0.5860869565</x:v>
      </x:c>
    </x:row>
    <x:row r="23" ht="15.75" customHeight="1">
      <x:c r="A23" s="10" t="s">
        <x:v>1042</x:v>
      </x:c>
      <x:c r="B23" s="2" t="e">
        <x:f>IFERROR(__xludf.DUMMYFUNCTION("SUMPRODUCT(--(LEFT(TO_TEXT(Eventos!B$2:B$1000),10)=A23))"),14.0)</x:f>
        <x:v>#NAME?</x:v>
      </x:c>
      <x:c r="C23" s="2" t="e">
        <x:f>IFERROR(__xludf.DUMMYFUNCTION("SUMPRODUCT(--(LEFT(TO_TEXT(Eventos!B$2:B$1000),10)=A23),--(Eventos!K$2:K$1000=""Ganhou""))"),6.0)</x:f>
        <x:v>#NAME?</x:v>
      </x:c>
      <x:c r="D23" s="2" t="e">
        <x:f>IFERROR(__xludf.DUMMYFUNCTION("SUMPRODUCT(--(LEFT(TO_TEXT(Eventos!B$2:B$1000),10)=A23),--(Eventos!K$2:K$1000=""Perdida""))"),5.0)</x:f>
        <x:v>#NAME?</x:v>
      </x:c>
      <x:c r="E23" s="2" t="e">
        <x:f>IFERROR(__xludf.DUMMYFUNCTION("SUMPRODUCT(--(LEFT(TO_TEXT(Eventos!B$2:B$1000),10)=A23),--(Eventos!K$2:K$1000=""Cash Out""))"),3.0)</x:f>
        <x:v>#NAME?</x:v>
      </x:c>
      <x:c r="F23" s="2" t="e">
        <x:f>IFERROR(__xludf.DUMMYFUNCTION("SUMPRODUCT(--(LEFT(TO_TEXT(Eventos!B$2:B$1000),10)=A23),Eventos!I$2:I$1000)"),167.0)</x:f>
        <x:v>#NAME?</x:v>
      </x:c>
      <x:c r="G23" s="2" t="e">
        <x:f>IFERROR(__xludf.DUMMYFUNCTION("SUMPRODUCT(--(LEFT(TO_TEXT(Eventos!B$2:B$1000),10)=A23),Eventos!M$2:M$1000)"),151.59)</x:f>
        <x:v>#NAME?</x:v>
      </x:c>
      <x:c r="H23" s="2" t="e">
        <x:f>IFERROR(__xludf.DUMMYFUNCTION("SUMPRODUCT(--(LEFT(TO_TEXT(Eventos!B$2:B$1000),10)=A23),Eventos!N$2:N$1000)"),-15.41)</x:f>
        <x:v>#NAME?</x:v>
      </x:c>
      <x:c r="I23" s="2">
        <x:f t="shared" si="2"/>
        <x:v>-0.0922754491</x:v>
      </x:c>
    </x:row>
    <x:row r="24" ht="15.75" customHeight="1">
      <x:c r="A24" s="10" t="s">
        <x:v>1043</x:v>
      </x:c>
      <x:c r="B24" s="2" t="e">
        <x:f>IFERROR(__xludf.DUMMYFUNCTION("SUMPRODUCT(--(LEFT(TO_TEXT(Eventos!B$2:B$1000),10)=A24))"),19.0)</x:f>
        <x:v>#NAME?</x:v>
      </x:c>
      <x:c r="C24" s="2" t="e">
        <x:f>IFERROR(__xludf.DUMMYFUNCTION("SUMPRODUCT(--(LEFT(TO_TEXT(Eventos!B$2:B$1000),10)=A24),--(Eventos!K$2:K$1000=""Ganhou""))"),11.0)</x:f>
        <x:v>#NAME?</x:v>
      </x:c>
      <x:c r="D24" s="2" t="e">
        <x:f>IFERROR(__xludf.DUMMYFUNCTION("SUMPRODUCT(--(LEFT(TO_TEXT(Eventos!B$2:B$1000),10)=A24),--(Eventos!K$2:K$1000=""Perdida""))"),6.0)</x:f>
        <x:v>#NAME?</x:v>
      </x:c>
      <x:c r="E24" s="2" t="e">
        <x:f>IFERROR(__xludf.DUMMYFUNCTION("SUMPRODUCT(--(LEFT(TO_TEXT(Eventos!B$2:B$1000),10)=A24),--(Eventos!K$2:K$1000=""Cash Out""))"),2.0)</x:f>
        <x:v>#NAME?</x:v>
      </x:c>
      <x:c r="F24" s="2" t="e">
        <x:f>IFERROR(__xludf.DUMMYFUNCTION("SUMPRODUCT(--(LEFT(TO_TEXT(Eventos!B$2:B$1000),10)=A24),Eventos!I$2:I$1000)"),163.0)</x:f>
        <x:v>#NAME?</x:v>
      </x:c>
      <x:c r="G24" s="2" t="e">
        <x:f>IFERROR(__xludf.DUMMYFUNCTION("SUMPRODUCT(--(LEFT(TO_TEXT(Eventos!B$2:B$1000),10)=A24),Eventos!M$2:M$1000)"),179.47)</x:f>
        <x:v>#NAME?</x:v>
      </x:c>
      <x:c r="H24" s="2" t="e">
        <x:f>IFERROR(__xludf.DUMMYFUNCTION("SUMPRODUCT(--(LEFT(TO_TEXT(Eventos!B$2:B$1000),10)=A24),Eventos!N$2:N$1000)"),16.470000000000006)</x:f>
        <x:v>#NAME?</x:v>
      </x:c>
      <x:c r="I24" s="2">
        <x:f t="shared" si="2"/>
        <x:v>0.1010429448</x:v>
      </x:c>
    </x:row>
    <x:row r="25" ht="15.75" customHeight="1">
      <x:c r="A25" s="10" t="s">
        <x:v>1044</x:v>
      </x:c>
      <x:c r="B25" s="2" t="e">
        <x:f>IFERROR(__xludf.DUMMYFUNCTION("SUMPRODUCT(--(LEFT(TO_TEXT(Eventos!B$2:B$1000),10)=A25))"),20.0)</x:f>
        <x:v>#NAME?</x:v>
      </x:c>
      <x:c r="C25" s="2" t="e">
        <x:f>IFERROR(__xludf.DUMMYFUNCTION("SUMPRODUCT(--(LEFT(TO_TEXT(Eventos!B$2:B$1000),10)=A25),--(Eventos!K$2:K$1000=""Ganhou""))"),13.0)</x:f>
        <x:v>#NAME?</x:v>
      </x:c>
      <x:c r="D25" s="2" t="e">
        <x:f>IFERROR(__xludf.DUMMYFUNCTION("SUMPRODUCT(--(LEFT(TO_TEXT(Eventos!B$2:B$1000),10)=A25),--(Eventos!K$2:K$1000=""Perdida""))"),6.0)</x:f>
        <x:v>#NAME?</x:v>
      </x:c>
      <x:c r="E25" s="2" t="e">
        <x:f>IFERROR(__xludf.DUMMYFUNCTION("SUMPRODUCT(--(LEFT(TO_TEXT(Eventos!B$2:B$1000),10)=A25),--(Eventos!K$2:K$1000=""Cash Out""))"),1.0)</x:f>
        <x:v>#NAME?</x:v>
      </x:c>
      <x:c r="F25" s="2" t="e">
        <x:f>IFERROR(__xludf.DUMMYFUNCTION("SUMPRODUCT(--(LEFT(TO_TEXT(Eventos!B$2:B$1000),10)=A25),Eventos!I$2:I$1000)"),177.14)</x:f>
        <x:v>#NAME?</x:v>
      </x:c>
      <x:c r="G25" s="2" t="e">
        <x:f>IFERROR(__xludf.DUMMYFUNCTION("SUMPRODUCT(--(LEFT(TO_TEXT(Eventos!B$2:B$1000),10)=A25),Eventos!M$2:M$1000)"),200.19000000000003)</x:f>
        <x:v>#NAME?</x:v>
      </x:c>
      <x:c r="H25" s="2" t="e">
        <x:f>IFERROR(__xludf.DUMMYFUNCTION("SUMPRODUCT(--(LEFT(TO_TEXT(Eventos!B$2:B$1000),10)=A25),Eventos!N$2:N$1000)"),23.050000000000004)</x:f>
        <x:v>#NAME?</x:v>
      </x:c>
      <x:c r="I25" s="2">
        <x:f t="shared" si="2"/>
        <x:v>0.1301230665</x:v>
      </x:c>
    </x:row>
    <x:row r="26" ht="15.75" customHeight="1">
      <x:c r="A26" s="10" t="s">
        <x:v>1045</x:v>
      </x:c>
      <x:c r="B26" s="2"/>
      <x:c r="C26" s="2"/>
      <x:c r="D26" s="2"/>
      <x:c r="E26" s="2"/>
      <x:c r="F26" s="2"/>
      <x:c r="G26" s="2"/>
      <x:c r="H26" s="2"/>
      <x:c r="I26" s="1">
        <x:f t="shared" si="2"/>
        <x:v>0</x:v>
      </x:c>
    </x:row>
    <x:row r="27" ht="15.75" customHeight="1">
      <x:c r="B27" s="2"/>
      <x:c r="C27" s="2"/>
      <x:c r="D27" s="2"/>
      <x:c r="E27" s="2"/>
      <x:c r="F27" s="2"/>
      <x:c r="G27" s="2"/>
      <x:c r="H27" s="2"/>
      <x:c r="I27" s="1">
        <x:f t="shared" si="2"/>
        <x:v>0</x:v>
      </x:c>
    </x:row>
    <x:row r="28" ht="15.75" customHeight="1">
      <x:c r="A28" s="10" t="s">
        <x:v>1046</x:v>
      </x:c>
      <x:c r="B28" s="2" t="e">
        <x:f>IFERROR(__xludf.DUMMYFUNCTION("SUMPRODUCT(--(LEFT(TO_TEXT(Eventos!B$2:B$1000),10)=A28))"),21.0)</x:f>
        <x:v>#NAME?</x:v>
      </x:c>
      <x:c r="C28" s="2" t="e">
        <x:f>IFERROR(__xludf.DUMMYFUNCTION("SUMPRODUCT(--(LEFT(TO_TEXT(Eventos!B$2:B$1000),10)=A28),--(Eventos!K$2:K$1000=""Ganhou""))"),13.0)</x:f>
        <x:v>#NAME?</x:v>
      </x:c>
      <x:c r="D28" s="2" t="e">
        <x:f>IFERROR(__xludf.DUMMYFUNCTION("SUMPRODUCT(--(LEFT(TO_TEXT(Eventos!B$2:B$1000),10)=A28),--(Eventos!K$2:K$1000=""Perdida""))"),8.0)</x:f>
        <x:v>#NAME?</x:v>
      </x:c>
      <x:c r="E28" s="2" t="e">
        <x:f>IFERROR(__xludf.DUMMYFUNCTION("SUMPRODUCT(--(LEFT(TO_TEXT(Eventos!B$2:B$1000),10)=A28),--(Eventos!K$2:K$1000=""Cash Out""))"),0.0)</x:f>
        <x:v>#NAME?</x:v>
      </x:c>
      <x:c r="F28" s="2" t="e">
        <x:f>IFERROR(__xludf.DUMMYFUNCTION("SUMPRODUCT(--(LEFT(TO_TEXT(Eventos!B$2:B$1000),10)=A28),Eventos!I$2:I$1000)"),231.9)</x:f>
        <x:v>#NAME?</x:v>
      </x:c>
      <x:c r="G28" s="2" t="e">
        <x:f>IFERROR(__xludf.DUMMYFUNCTION("SUMPRODUCT(--(LEFT(TO_TEXT(Eventos!B$2:B$1000),10)=A28),Eventos!M$2:M$1000)"),282.25)</x:f>
        <x:v>#NAME?</x:v>
      </x:c>
      <x:c r="H28" s="2" t="e">
        <x:f>IFERROR(__xludf.DUMMYFUNCTION("SUMPRODUCT(--(LEFT(TO_TEXT(Eventos!B$2:B$1000),10)=A28),Eventos!N$2:N$1000)"),50.34999999999998)</x:f>
        <x:v>#NAME?</x:v>
      </x:c>
      <x:c r="I28" s="2">
        <x:f t="shared" si="2"/>
        <x:v>0.217119448</x:v>
      </x:c>
    </x:row>
    <x:row r="29" ht="15.75" customHeight="1">
      <x:c r="A29" s="10" t="s">
        <x:v>1047</x:v>
      </x:c>
      <x:c r="B29" s="2" t="e">
        <x:f>IFERROR(__xludf.DUMMYFUNCTION("SUMPRODUCT(--(LEFT(TO_TEXT(Eventos!B$2:B$1000),10)=A29))"),17.0)</x:f>
        <x:v>#NAME?</x:v>
      </x:c>
      <x:c r="C29" s="2" t="e">
        <x:f>IFERROR(__xludf.DUMMYFUNCTION("SUMPRODUCT(--(LEFT(TO_TEXT(Eventos!B$2:B$1000),10)=A29),--(Eventos!K$2:K$1000=""Ganhou""))"),9.0)</x:f>
        <x:v>#NAME?</x:v>
      </x:c>
      <x:c r="D29" s="2" t="e">
        <x:f>IFERROR(__xludf.DUMMYFUNCTION("SUMPRODUCT(--(LEFT(TO_TEXT(Eventos!B$2:B$1000),10)=A29),--(Eventos!K$2:K$1000=""Perdida""))"),8.0)</x:f>
        <x:v>#NAME?</x:v>
      </x:c>
      <x:c r="E29" s="1">
        <x:v>0.0</x:v>
      </x:c>
      <x:c r="F29" s="2" t="e">
        <x:f>IFERROR(__xludf.DUMMYFUNCTION("SUMPRODUCT(--(LEFT(TO_TEXT(Eventos!B$2:B$1000),10)=A29),Eventos!I$2:I$1000)"),190.0)</x:f>
        <x:v>#NAME?</x:v>
      </x:c>
      <x:c r="G29" s="2" t="e">
        <x:f>IFERROR(__xludf.DUMMYFUNCTION("SUMPRODUCT(--(LEFT(TO_TEXT(Eventos!B$2:B$1000),10)=A29),Eventos!M$2:M$1000)"),175.3)</x:f>
        <x:v>#NAME?</x:v>
      </x:c>
      <x:c r="H29" s="2" t="e">
        <x:f>IFERROR(__xludf.DUMMYFUNCTION("SUMPRODUCT(--(LEFT(TO_TEXT(Eventos!B$2:B$1000),10)=A29),Eventos!N$2:N$1000)"),-14.699999999999996)</x:f>
        <x:v>#NAME?</x:v>
      </x:c>
      <x:c r="I29" s="2">
        <x:f t="shared" si="2"/>
        <x:v>-0.07736842105</x:v>
      </x:c>
    </x:row>
    <x:row r="30" ht="15.75" customHeight="1">
      <x:c r="A30" s="1" t="s">
        <x:v>70</x:v>
      </x:c>
      <x:c r="B30" s="2" t="n">
        <x:f>COUNTIFS(Eventos!H2:H1000,"Under gols",Eventos!R2:R1000,"Pré-jogo")</x:f>
        <x:v>19</x:v>
      </x:c>
      <x:c r="C30" s="2" t="n">
        <x:f>SUMIFS(Eventos!I2:I1000,Eventos!H2:H1000,"Under gols",Eventos!R2:R1000,"Pré-jogo")</x:f>
        <x:v>184.2</x:v>
      </x:c>
      <x:c r="D30" s="2" t="n">
        <x:f>SUMIFS(Eventos!N2:N1000,Eventos!H2:H1000,"Under gols",Eventos!R2:R1000,"Pré-jogo")</x:f>
        <x:v>-32.699999999999996</x:v>
      </x:c>
      <x:c r="E30" s="2" t="n">
        <x:f>IFERROR(D30/C30,0)</x:f>
        <x:v>-0.1775244299674267</x:v>
      </x:c>
      <x:c r="F30" s="2" t="n">
        <x:f>COUNTIFS(Eventos!H2:H1000,"Under gols",Eventos!R2:R1000,"Pré-jogo",Eventos!K2:K1000,"Ganhou")</x:f>
        <x:v>10</x:v>
      </x:c>
      <x:c r="G30" s="2" t="n">
        <x:f>COUNTIFS(Eventos!H2:H1000,"Under gols",Eventos!R2:R1000,"Pré-jogo",Eventos!K2:K1000,"Perdida")</x:f>
        <x:v>5</x:v>
      </x:c>
      <x:c r="H30" s="2" t="n">
        <x:f>COUNTIFS(Eventos!H2:H1000,"Under gols",Eventos!R2:R1000,"Pré-jogo",Eventos!K2:K1000,"Cash Out")</x:f>
        <x:v>0</x:v>
      </x:c>
    </x:row>
    <x:row r="31" ht="15.75" customHeight="1">
      <x:c r="A31" s="1" t="s">
        <x:v>100</x:v>
      </x:c>
      <x:c r="B31" s="1">
        <x:v>19.0</x:v>
      </x:c>
      <x:c r="C31" s="1">
        <x:v>167.0</x:v>
      </x:c>
      <x:c r="D31" s="1">
        <x:v>-61.9</x:v>
      </x:c>
      <x:c r="E31" s="1">
        <x:v>-0.3706586826347305</x:v>
      </x:c>
      <x:c r="F31" s="1">
        <x:v>7.0</x:v>
      </x:c>
      <x:c r="G31" s="1">
        <x:v>10.0</x:v>
      </x:c>
      <x:c r="H31" s="1">
        <x:v>2.0</x:v>
      </x:c>
    </x:row>
    <x:row r="32" ht="15.75" customHeight="1">
      <x:c r="A32" s="1" t="s">
        <x:v>118</x:v>
      </x:c>
      <x:c r="B32" s="2" t="n">
        <x:f>COUNTIFS(Eventos!H2:H1000,"Under gols",Eventos!R2:R1000,"Não confirmado")</x:f>
        <x:v>3</x:v>
      </x:c>
      <x:c r="C32" s="2" t="n">
        <x:f>SUMIFS(Eventos!I2:I1000,Eventos!H2:H1000,"Under gols",Eventos!R2:R1000,"Não confirmado")</x:f>
        <x:v>20</x:v>
      </x:c>
      <x:c r="D32" s="2" t="n">
        <x:f>SUMIFS(Eventos!N2:N1000,Eventos!H2:H1000,"Under gols",Eventos!R2:R1000,"Não confirmado")</x:f>
        <x:v>2.4000000000000004</x:v>
      </x:c>
      <x:c r="E32" s="2" t="n">
        <x:f>IFERROR(D32/C32,0)</x:f>
        <x:v>0.12000000000000002</x:v>
      </x:c>
      <x:c r="F32" s="2" t="n">
        <x:f>COUNTIFS(Eventos!H2:H1000,"Under gols",Eventos!R2:R1000,"Não confirmado",Eventos!K2:K1000,"Ganhou")</x:f>
        <x:v>1</x:v>
      </x:c>
      <x:c r="G32" s="2" t="n">
        <x:f>COUNTIFS(Eventos!H2:H1000,"Under gols",Eventos!R2:R1000,"Não confirmado",Eventos!K2:K1000,"Perdida")</x:f>
        <x:v>0</x:v>
      </x:c>
      <x:c r="H32" s="2" t="n">
        <x:f>COUNTIFS(Eventos!H2:H1000,"Under gols",Eventos!R2:R1000,"Não confirmado",Eventos!K2:K1000,"Cash Out")</x:f>
        <x:v>0</x:v>
      </x:c>
    </x:row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16:H16"/>
    <x:mergeCell ref="A26:H27"/>
  </x:mergeCells>
  <x:conditionalFormatting sqref="H9:H15">
    <x:cfRule type="expression" dxfId="5" priority="1">
      <x:formula>H9&gt;0</x:formula>
    </x:cfRule>
  </x:conditionalFormatting>
  <x:conditionalFormatting sqref="H9:H15">
    <x:cfRule type="expression" dxfId="6" priority="2">
      <x:formula>H9&lt;0</x:formula>
    </x:cfRule>
  </x:conditionalFormatting>
  <x:pageMargins left="0.7" right="0.7" top="0.75" bottom="0.75" header="0.3" footer="0.3"/>
  <x:drawing xmlns:r="http://schemas.openxmlformats.org/officeDocument/2006/relationships" r:id="R94410e69fe16454a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30" customWidth="1"/>
    <x:col min="4" max="4" width="19.8799991607666" customWidth="1"/>
  </x:cols>
  <x:sheetData>
    <x:row r="1">
      <x:c r="A1" s="1" t="s">
        <x:v>1048</x:v>
      </x:c>
    </x:row>
    <x:row r="2">
      <x:c r="A2" s="1" t="s">
        <x:v>1049</x:v>
      </x:c>
      <x:c r="B2" s="1">
        <x:v>100.0</x:v>
      </x:c>
      <x:c r="C2" s="1"/>
      <x:c r="D2" s="1" t="s">
        <x:v>1050</x:v>
      </x:c>
      <x:c r="E2" s="2" t="n">
        <x:v>428.86</x:v>
      </x:c>
      <x:c r="F2" s="1"/>
    </x:row>
    <x:row r="3">
      <x:c r="A3" s="1" t="s">
        <x:v>1051</x:v>
      </x:c>
      <x:c r="B3" s="1">
        <x:v>0.0</x:v>
      </x:c>
      <x:c r="C3" s="1"/>
      <x:c r="D3" s="1" t="s">
        <x:v>1052</x:v>
      </x:c>
      <x:c r="E3" s="2" t="n">
        <x:f t="array" ref="E3"/>
        <x:v>186.76</x:v>
      </x:c>
      <x:c r="F3" s="1"/>
    </x:row>
    <x:row r="4">
      <x:c r="A4" s="1" t="s">
        <x:v>1025</x:v>
      </x:c>
      <x:c r="B4" s="1" t="s">
        <x:v>1053</x:v>
      </x:c>
    </x:row>
    <x:row r="5">
      <x:c r="A5" s="1" t="s">
        <x:v>1054</x:v>
      </x:c>
    </x:row>
    <x:row r="6">
      <x:c r="A6" s="1" t="s">
        <x:v>1035</x:v>
      </x:c>
      <x:c r="B6" s="1" t="s">
        <x:v>1016</x:v>
      </x:c>
      <x:c r="C6" s="1" t="s">
        <x:v>12</x:v>
      </x:c>
      <x:c r="D6" s="1" t="s">
        <x:v>1017</x:v>
      </x:c>
      <x:c r="E6" s="1" t="s">
        <x:v>1018</x:v>
      </x:c>
      <x:c r="F6" s="1" t="s">
        <x:v>1055</x:v>
      </x:c>
    </x:row>
    <x:row r="7">
      <x:c r="A7" s="2" t="str">
        <x:f t="shared" ref="A7:A30" si="1">IF(DATE(2026,8,18)+ROW()-7&lt;=TODAY(),TEXT(DATE(2026,8,18)+ROW()-7,"dd/mm/yyyy"),"")</x:f>
        <x:v>18/08/2026</x:v>
      </x:c>
      <x:c r="B7" s="2" t="e">
        <x:f>IFERROR(__xludf.DUMMYFUNCTION("IF(A7="""","""",SUMPRODUCT(--(LEFT(TO_TEXT(Eventos!B$2:B$1000),10)=A7),--(Eventos!N$2:N$1000&lt;&gt;0),Eventos!I$2:I$1000))"),0.0)</x:f>
        <x:v>#NAME?</x:v>
      </x:c>
      <x:c r="C7" s="2" t="e">
        <x:f>IFERROR(__xludf.DUMMYFUNCTION("IF(A7="""","""",SUMPRODUCT(--(LEFT(TO_TEXT(Eventos!B$2:B$1000),10)=A7),--(Eventos!N$2:N$1000&lt;&gt;0),Eventos!M$2:M$1000))"),0.0)</x:f>
        <x:v>#NAME?</x:v>
      </x:c>
      <x:c r="D7" s="2" t="e">
        <x:f>IFERROR(__xludf.DUMMYFUNCTION("IF(A7="""","""",SUMPRODUCT(--(LEFT(TO_TEXT(Eventos!B$2:B$1000),10)=A7),Eventos!N$2:N$1000))"),0.0)</x:f>
        <x:v>#NAME?</x:v>
      </x:c>
      <x:c r="E7" s="2" t="n">
        <x:f t="shared" ref="E7:E400" si="2">IF(A7="","",IFERROR(D7/B7,0))</x:f>
        <x:v>0</x:v>
      </x:c>
      <x:c r="F7" s="2" t="e">
        <x:f t="shared" ref="F7:F30" si="3">IF(A7="","",$B$2+SUM($D$7:D7))</x:f>
        <x:v>#NAME?</x:v>
      </x:c>
    </x:row>
    <x:row r="8">
      <x:c r="A8" s="2" t="str">
        <x:f t="shared" si="1"/>
        <x:v>19/08/2026</x:v>
      </x:c>
      <x:c r="B8" s="2" t="e">
        <x:f>IFERROR(__xludf.DUMMYFUNCTION("IF(A8="""","""",SUMPRODUCT(--(LEFT(TO_TEXT(Eventos!B$2:B$1000),10)=A8),--(Eventos!N$2:N$1000&lt;&gt;0),Eventos!I$2:I$1000))"),165.0)</x:f>
        <x:v>#NAME?</x:v>
      </x:c>
      <x:c r="C8" s="2" t="e">
        <x:f>IFERROR(__xludf.DUMMYFUNCTION("IF(A8="""","""",SUMPRODUCT(--(LEFT(TO_TEXT(Eventos!B$2:B$1000),10)=A8),--(Eventos!N$2:N$1000&lt;&gt;0),Eventos!M$2:M$1000))"),156.64999999999998)</x:f>
        <x:v>#NAME?</x:v>
      </x:c>
      <x:c r="D8" s="2" t="e">
        <x:f>IFERROR(__xludf.DUMMYFUNCTION("IF(A8="""","""",SUMPRODUCT(--(LEFT(TO_TEXT(Eventos!B$2:B$1000),10)=A8),Eventos!N$2:N$1000))"),-8.35)</x:f>
        <x:v>#NAME?</x:v>
      </x:c>
      <x:c r="E8" s="2">
        <x:f t="shared" si="2"/>
        <x:v>-0.05060606061</x:v>
      </x:c>
      <x:c r="F8" s="2">
        <x:f t="shared" si="3"/>
        <x:v>91.65</x:v>
      </x:c>
    </x:row>
    <x:row r="9">
      <x:c r="A9" s="2" t="str">
        <x:f t="shared" si="1"/>
        <x:v>20/08/2026</x:v>
      </x:c>
      <x:c r="B9" s="2" t="e">
        <x:f>IFERROR(__xludf.DUMMYFUNCTION("IF(A9="""","""",SUMPRODUCT(--(LEFT(TO_TEXT(Eventos!B$2:B$1000),10)=A9),--(Eventos!N$2:N$1000&lt;&gt;0),Eventos!I$2:I$1000))"),50.0)</x:f>
        <x:v>#NAME?</x:v>
      </x:c>
      <x:c r="C9" s="2" t="e">
        <x:f>IFERROR(__xludf.DUMMYFUNCTION("IF(A9="""","""",SUMPRODUCT(--(LEFT(TO_TEXT(Eventos!B$2:B$1000),10)=A9),--(Eventos!N$2:N$1000&lt;&gt;0),Eventos!M$2:M$1000))"),95.4)</x:f>
        <x:v>#NAME?</x:v>
      </x:c>
      <x:c r="D9" s="2" t="e">
        <x:f>IFERROR(__xludf.DUMMYFUNCTION("IF(A9="""","""",SUMPRODUCT(--(LEFT(TO_TEXT(Eventos!B$2:B$1000),10)=A9),Eventos!N$2:N$1000))"),45.4)</x:f>
        <x:v>#NAME?</x:v>
      </x:c>
      <x:c r="E9" s="2">
        <x:f t="shared" si="2"/>
        <x:v>0.908</x:v>
      </x:c>
      <x:c r="F9" s="2">
        <x:f t="shared" si="3"/>
        <x:v>137.05</x:v>
      </x:c>
    </x:row>
    <x:row r="10">
      <x:c r="A10" s="2" t="str">
        <x:f t="shared" si="1"/>
        <x:v>21/08/2026</x:v>
      </x:c>
      <x:c r="B10" s="2" t="e">
        <x:f>IFERROR(__xludf.DUMMYFUNCTION("IF(A10="""","""",SUMPRODUCT(--(LEFT(TO_TEXT(Eventos!B$2:B$1000),10)=A10),--(Eventos!N$2:N$1000&lt;&gt;0),Eventos!I$2:I$1000))"),0.0)</x:f>
        <x:v>#NAME?</x:v>
      </x:c>
      <x:c r="C10" s="2" t="e">
        <x:f>IFERROR(__xludf.DUMMYFUNCTION("IF(A10="""","""",SUMPRODUCT(--(LEFT(TO_TEXT(Eventos!B$2:B$1000),10)=A10),--(Eventos!N$2:N$1000&lt;&gt;0),Eventos!M$2:M$1000))"),0.0)</x:f>
        <x:v>#NAME?</x:v>
      </x:c>
      <x:c r="D10" s="2" t="e">
        <x:f>IFERROR(__xludf.DUMMYFUNCTION("IF(A10="""","""",SUMPRODUCT(--(LEFT(TO_TEXT(Eventos!B$2:B$1000),10)=A10),Eventos!N$2:N$1000))"),0.0)</x:f>
        <x:v>#NAME?</x:v>
      </x:c>
      <x:c r="E10" s="2">
        <x:f t="shared" si="2"/>
        <x:v>0</x:v>
      </x:c>
      <x:c r="F10" s="2">
        <x:f t="shared" si="3"/>
        <x:v>137.05</x:v>
      </x:c>
    </x:row>
    <x:row r="11">
      <x:c r="A11" s="2" t="str">
        <x:f t="shared" si="1"/>
        <x:v>22/08/2026</x:v>
      </x:c>
      <x:c r="B11" s="2" t="e">
        <x:f>IFERROR(__xludf.DUMMYFUNCTION("IF(A11="""","""",SUMPRODUCT(--(LEFT(TO_TEXT(Eventos!B$2:B$1000),10)=A11),--(Eventos!N$2:N$1000&lt;&gt;0),Eventos!I$2:I$1000))"),62.0)</x:f>
        <x:v>#NAME?</x:v>
      </x:c>
      <x:c r="C11" s="2" t="e">
        <x:f>IFERROR(__xludf.DUMMYFUNCTION("IF(A11="""","""",SUMPRODUCT(--(LEFT(TO_TEXT(Eventos!B$2:B$1000),10)=A11),--(Eventos!N$2:N$1000&lt;&gt;0),Eventos!M$2:M$1000))"),84.59)</x:f>
        <x:v>#NAME?</x:v>
      </x:c>
      <x:c r="D11" s="2" t="e">
        <x:f>IFERROR(__xludf.DUMMYFUNCTION("IF(A11="""","""",SUMPRODUCT(--(LEFT(TO_TEXT(Eventos!B$2:B$1000),10)=A11),Eventos!N$2:N$1000))"),22.589999999999996)</x:f>
        <x:v>#NAME?</x:v>
      </x:c>
      <x:c r="E11" s="2">
        <x:f t="shared" si="2"/>
        <x:v>0.3643548387</x:v>
      </x:c>
      <x:c r="F11" s="2">
        <x:f t="shared" si="3"/>
        <x:v>159.64</x:v>
      </x:c>
    </x:row>
    <x:row r="12">
      <x:c r="A12" s="2" t="str">
        <x:f t="shared" si="1"/>
        <x:v>23/08/2026</x:v>
      </x:c>
      <x:c r="B12" s="2" t="e">
        <x:f>IFERROR(__xludf.DUMMYFUNCTION("IF(A12="""","""",SUMPRODUCT(--(LEFT(TO_TEXT(Eventos!B$2:B$1000),10)=A12),--(Eventos!N$2:N$1000&lt;&gt;0),Eventos!I$2:I$1000))"),72.0)</x:f>
        <x:v>#NAME?</x:v>
      </x:c>
      <x:c r="C12" s="2" t="e">
        <x:f>IFERROR(__xludf.DUMMYFUNCTION("IF(A12="""","""",SUMPRODUCT(--(LEFT(TO_TEXT(Eventos!B$2:B$1000),10)=A12),--(Eventos!N$2:N$1000&lt;&gt;0),Eventos!M$2:M$1000))"),83.35)</x:f>
        <x:v>#NAME?</x:v>
      </x:c>
      <x:c r="D12" s="2" t="e">
        <x:f>IFERROR(__xludf.DUMMYFUNCTION("IF(A12="""","""",SUMPRODUCT(--(LEFT(TO_TEXT(Eventos!B$2:B$1000),10)=A12),Eventos!N$2:N$1000))"),11.350000000000001)</x:f>
        <x:v>#NAME?</x:v>
      </x:c>
      <x:c r="E12" s="2">
        <x:f t="shared" si="2"/>
        <x:v>0.1576388889</x:v>
      </x:c>
      <x:c r="F12" s="2">
        <x:f t="shared" si="3"/>
        <x:v>170.99</x:v>
      </x:c>
    </x:row>
    <x:row r="13">
      <x:c r="A13" s="2" t="str">
        <x:f t="shared" si="1"/>
        <x:v>24/08/2026</x:v>
      </x:c>
      <x:c r="B13" s="2" t="e">
        <x:f>IFERROR(__xludf.DUMMYFUNCTION("IF(A13="""","""",SUMPRODUCT(--(LEFT(TO_TEXT(Eventos!B$2:B$1000),10)=A13),--(Eventos!N$2:N$1000&lt;&gt;0),Eventos!I$2:I$1000))"),115.0)</x:f>
        <x:v>#NAME?</x:v>
      </x:c>
      <x:c r="C13" s="2" t="e">
        <x:f>IFERROR(__xludf.DUMMYFUNCTION("IF(A13="""","""",SUMPRODUCT(--(LEFT(TO_TEXT(Eventos!B$2:B$1000),10)=A13),--(Eventos!N$2:N$1000&lt;&gt;0),Eventos!M$2:M$1000))"),182.39999999999998)</x:f>
        <x:v>#NAME?</x:v>
      </x:c>
      <x:c r="D13" s="2" t="e">
        <x:f>IFERROR(__xludf.DUMMYFUNCTION("IF(A13="""","""",SUMPRODUCT(--(LEFT(TO_TEXT(Eventos!B$2:B$1000),10)=A13),Eventos!N$2:N$1000))"),67.4)</x:f>
        <x:v>#NAME?</x:v>
      </x:c>
      <x:c r="E13" s="2">
        <x:f t="shared" si="2"/>
        <x:v>0.5860869565</x:v>
      </x:c>
      <x:c r="F13" s="2">
        <x:f t="shared" si="3"/>
        <x:v>238.39</x:v>
      </x:c>
    </x:row>
    <x:row r="14">
      <x:c r="A14" s="2" t="str">
        <x:f t="shared" si="1"/>
        <x:v>25/08/2026</x:v>
      </x:c>
      <x:c r="B14" s="2" t="e">
        <x:f>IFERROR(__xludf.DUMMYFUNCTION("IF(A14="""","""",SUMPRODUCT(--(LEFT(TO_TEXT(Eventos!B$2:B$1000),10)=A14),--(Eventos!N$2:N$1000&lt;&gt;0),Eventos!I$2:I$1000))"),153.0)</x:f>
        <x:v>#NAME?</x:v>
      </x:c>
      <x:c r="C14" s="2" t="e">
        <x:f>IFERROR(__xludf.DUMMYFUNCTION("IF(A14="""","""",SUMPRODUCT(--(LEFT(TO_TEXT(Eventos!B$2:B$1000),10)=A14),--(Eventos!N$2:N$1000&lt;&gt;0),Eventos!M$2:M$1000))"),137.59)</x:f>
        <x:v>#NAME?</x:v>
      </x:c>
      <x:c r="D14" s="2" t="e">
        <x:f>IFERROR(__xludf.DUMMYFUNCTION("IF(A14="""","""",SUMPRODUCT(--(LEFT(TO_TEXT(Eventos!B$2:B$1000),10)=A14),Eventos!N$2:N$1000))"),-15.41)</x:f>
        <x:v>#NAME?</x:v>
      </x:c>
      <x:c r="E14" s="2">
        <x:f t="shared" si="2"/>
        <x:v>-0.1007189542</x:v>
      </x:c>
      <x:c r="F14" s="2">
        <x:f t="shared" si="3"/>
        <x:v>222.98</x:v>
      </x:c>
    </x:row>
    <x:row r="15">
      <x:c r="A15" s="2" t="str">
        <x:f t="shared" si="1"/>
        <x:v>26/08/2026</x:v>
      </x:c>
      <x:c r="B15" s="2" t="e">
        <x:f>IFERROR(__xludf.DUMMYFUNCTION("IF(A15="""","""",SUMPRODUCT(--(LEFT(TO_TEXT(Eventos!B$2:B$1000),10)=A15),--(Eventos!N$2:N$1000&lt;&gt;0),Eventos!I$2:I$1000))"),163.0)</x:f>
        <x:v>#NAME?</x:v>
      </x:c>
      <x:c r="C15" s="2" t="e">
        <x:f>IFERROR(__xludf.DUMMYFUNCTION("IF(A15="""","""",SUMPRODUCT(--(LEFT(TO_TEXT(Eventos!B$2:B$1000),10)=A15),--(Eventos!N$2:N$1000&lt;&gt;0),Eventos!M$2:M$1000))"),179.47)</x:f>
        <x:v>#NAME?</x:v>
      </x:c>
      <x:c r="D15" s="2" t="e">
        <x:f>IFERROR(__xludf.DUMMYFUNCTION("IF(A15="""","""",SUMPRODUCT(--(LEFT(TO_TEXT(Eventos!B$2:B$1000),10)=A15),Eventos!N$2:N$1000))"),16.470000000000006)</x:f>
        <x:v>#NAME?</x:v>
      </x:c>
      <x:c r="E15" s="2">
        <x:f t="shared" si="2"/>
        <x:v>0.1010429448</x:v>
      </x:c>
      <x:c r="F15" s="2">
        <x:f t="shared" si="3"/>
        <x:v>239.45</x:v>
      </x:c>
    </x:row>
    <x:row r="16">
      <x:c r="A16" s="2" t="str">
        <x:f t="shared" si="1"/>
        <x:v>27/08/2026</x:v>
      </x:c>
      <x:c r="B16" s="2" t="e">
        <x:f>IFERROR(__xludf.DUMMYFUNCTION("IF(A16="""","""",SUMPRODUCT(--(LEFT(TO_TEXT(Eventos!B$2:B$1000),10)=A16),--(Eventos!N$2:N$1000&lt;&gt;0),Eventos!I$2:I$1000))"),177.14)</x:f>
        <x:v>#NAME?</x:v>
      </x:c>
      <x:c r="C16" s="2" t="e">
        <x:f>IFERROR(__xludf.DUMMYFUNCTION("IF(A16="""","""",SUMPRODUCT(--(LEFT(TO_TEXT(Eventos!B$2:B$1000),10)=A16),--(Eventos!N$2:N$1000&lt;&gt;0),Eventos!M$2:M$1000))"),200.19000000000003)</x:f>
        <x:v>#NAME?</x:v>
      </x:c>
      <x:c r="D16" s="2" t="e">
        <x:f>IFERROR(__xludf.DUMMYFUNCTION("IF(A16="""","""",SUMPRODUCT(--(LEFT(TO_TEXT(Eventos!B$2:B$1000),10)=A16),Eventos!N$2:N$1000))"),23.050000000000004)</x:f>
        <x:v>#NAME?</x:v>
      </x:c>
      <x:c r="E16" s="2">
        <x:f t="shared" si="2"/>
        <x:v>0.1301230665</x:v>
      </x:c>
      <x:c r="F16" s="2">
        <x:f t="shared" si="3"/>
        <x:v>262.5</x:v>
      </x:c>
    </x:row>
    <x:row r="17">
      <x:c r="A17" s="2" t="str">
        <x:f t="shared" si="1"/>
        <x:v>28/08/2026</x:v>
      </x:c>
      <x:c r="B17" s="2" t="e">
        <x:f>IFERROR(__xludf.DUMMYFUNCTION("IF(A17="""","""",SUMPRODUCT(--(LEFT(TO_TEXT(Eventos!B$2:B$1000),10)=A17),--(Eventos!N$2:N$1000&lt;&gt;0),Eventos!I$2:I$1000))"),139.2)</x:f>
        <x:v>#NAME?</x:v>
      </x:c>
      <x:c r="C17" s="2" t="e">
        <x:f>IFERROR(__xludf.DUMMYFUNCTION("IF(A17="""","""",SUMPRODUCT(--(LEFT(TO_TEXT(Eventos!B$2:B$1000),10)=A17),--(Eventos!N$2:N$1000&lt;&gt;0),Eventos!M$2:M$1000))"),93.89999999999999)</x:f>
        <x:v>#NAME?</x:v>
      </x:c>
      <x:c r="D17" s="2" t="e">
        <x:f>IFERROR(__xludf.DUMMYFUNCTION("IF(A17="""","""",SUMPRODUCT(--(LEFT(TO_TEXT(Eventos!B$2:B$1000),10)=A17),Eventos!N$2:N$1000))"),-45.3)</x:f>
        <x:v>#NAME?</x:v>
      </x:c>
      <x:c r="E17" s="2">
        <x:f t="shared" si="2"/>
        <x:v>-0.3254310345</x:v>
      </x:c>
      <x:c r="F17" s="2">
        <x:f t="shared" si="3"/>
        <x:v>217.2</x:v>
      </x:c>
    </x:row>
    <x:row r="18">
      <x:c r="A18" s="2" t="str">
        <x:f t="shared" si="1"/>
        <x:v>29/08/2026</x:v>
      </x:c>
      <x:c r="B18" s="2" t="e">
        <x:f>IFERROR(__xludf.DUMMYFUNCTION("IF(A18="""","""",SUMPRODUCT(--(LEFT(TO_TEXT(Eventos!B$2:B$1000),10)=A18),--(Eventos!N$2:N$1000&lt;&gt;0),Eventos!I$2:I$1000))"),185.0)</x:f>
        <x:v>#NAME?</x:v>
      </x:c>
      <x:c r="C18" s="2" t="e">
        <x:f>IFERROR(__xludf.DUMMYFUNCTION("IF(A18="""","""",SUMPRODUCT(--(LEFT(TO_TEXT(Eventos!B$2:B$1000),10)=A18),--(Eventos!N$2:N$1000&lt;&gt;0),Eventos!M$2:M$1000))"),209.89999999999998)</x:f>
        <x:v>#NAME?</x:v>
      </x:c>
      <x:c r="D18" s="2" t="e">
        <x:f>IFERROR(__xludf.DUMMYFUNCTION("IF(A18="""","""",SUMPRODUCT(--(LEFT(TO_TEXT(Eventos!B$2:B$1000),10)=A18),Eventos!N$2:N$1000))"),24.900000000000006)</x:f>
        <x:v>#NAME?</x:v>
      </x:c>
      <x:c r="E18" s="2">
        <x:f t="shared" si="2"/>
        <x:v>0.1345945946</x:v>
      </x:c>
      <x:c r="F18" s="2">
        <x:f t="shared" si="3"/>
        <x:v>242.1</x:v>
      </x:c>
    </x:row>
    <x:row r="19">
      <x:c r="A19" s="2" t="str">
        <x:f t="shared" si="1"/>
        <x:v>30/08/2026</x:v>
      </x:c>
      <x:c r="B19" s="2" t="e">
        <x:f>IFERROR(__xludf.DUMMYFUNCTION("IF(A19="""","""",SUMPRODUCT(--(LEFT(TO_TEXT(Eventos!B$2:B$1000),10)=A19),--(Eventos!N$2:N$1000&lt;&gt;0),Eventos!I$2:I$1000))"),231.9)</x:f>
        <x:v>#NAME?</x:v>
      </x:c>
      <x:c r="C19" s="2" t="e">
        <x:f>IFERROR(__xludf.DUMMYFUNCTION("IF(A19="""","""",SUMPRODUCT(--(LEFT(TO_TEXT(Eventos!B$2:B$1000),10)=A19),--(Eventos!N$2:N$1000&lt;&gt;0),Eventos!M$2:M$1000))"),282.25)</x:f>
        <x:v>#NAME?</x:v>
      </x:c>
      <x:c r="D19" s="2" t="e">
        <x:f>IFERROR(__xludf.DUMMYFUNCTION("IF(A19="""","""",SUMPRODUCT(--(LEFT(TO_TEXT(Eventos!B$2:B$1000),10)=A19),Eventos!N$2:N$1000))"),50.34999999999998)</x:f>
        <x:v>#NAME?</x:v>
      </x:c>
      <x:c r="E19" s="2">
        <x:f t="shared" si="2"/>
        <x:v>0.217119448</x:v>
      </x:c>
      <x:c r="F19" s="2">
        <x:f t="shared" si="3"/>
        <x:v>292.45</x:v>
      </x:c>
    </x:row>
    <x:row r="20">
      <x:c r="A20" s="2" t="str">
        <x:f t="shared" si="1"/>
        <x:v>31/08/2026</x:v>
      </x:c>
      <x:c r="B20" s="2" t="e">
        <x:f>IFERROR(__xludf.DUMMYFUNCTION("IF(A20="""","""",SUMPRODUCT(--(LEFT(TO_TEXT(Eventos!B$2:B$1000),10)=A20),--(Eventos!N$2:N$1000&lt;&gt;0),Eventos!I$2:I$1000))"),190.0)</x:f>
        <x:v>#NAME?</x:v>
      </x:c>
      <x:c r="C20" s="2" t="e">
        <x:f>IFERROR(__xludf.DUMMYFUNCTION("IF(A20="""","""",SUMPRODUCT(--(LEFT(TO_TEXT(Eventos!B$2:B$1000),10)=A20),--(Eventos!N$2:N$1000&lt;&gt;0),Eventos!M$2:M$1000))"),175.3)</x:f>
        <x:v>#NAME?</x:v>
      </x:c>
      <x:c r="D20" s="2" t="e">
        <x:f>IFERROR(__xludf.DUMMYFUNCTION("IF(A20="""","""",SUMPRODUCT(--(LEFT(TO_TEXT(Eventos!B$2:B$1000),10)=A20),Eventos!N$2:N$1000))"),-14.699999999999996)</x:f>
        <x:v>#NAME?</x:v>
      </x:c>
      <x:c r="E20" s="2">
        <x:f t="shared" si="2"/>
        <x:v>-0.07736842105</x:v>
      </x:c>
      <x:c r="F20" s="2">
        <x:f t="shared" si="3"/>
        <x:v>277.75</x:v>
      </x:c>
    </x:row>
    <x:row r="21">
      <x:c r="A21" s="2" t="str">
        <x:f t="shared" si="1"/>
        <x:v>01/09/2026</x:v>
      </x:c>
      <x:c r="B21" s="2" t="e">
        <x:f>IFERROR(__xludf.DUMMYFUNCTION("IF(A21="""","""",SUMPRODUCT(--(LEFT(TO_TEXT(Eventos!B$2:B$1000),10)=A21),--(Eventos!N$2:N$1000&lt;&gt;0),Eventos!I$2:I$1000))"),200.0)</x:f>
        <x:v>#NAME?</x:v>
      </x:c>
      <x:c r="C21" s="2" t="e">
        <x:f>IFERROR(__xludf.DUMMYFUNCTION("IF(A21="""","""",SUMPRODUCT(--(LEFT(TO_TEXT(Eventos!B$2:B$1000),10)=A21),--(Eventos!N$2:N$1000&lt;&gt;0),Eventos!M$2:M$1000))"),251.01000000000002)</x:f>
        <x:v>#NAME?</x:v>
      </x:c>
      <x:c r="D21" s="2" t="e">
        <x:f>IFERROR(__xludf.DUMMYFUNCTION("IF(A21="""","""",SUMPRODUCT(--(LEFT(TO_TEXT(Eventos!B$2:B$1000),10)=A21),Eventos!N$2:N$1000))"),51.01)</x:f>
        <x:v>#NAME?</x:v>
      </x:c>
      <x:c r="E21" s="2">
        <x:f t="shared" si="2"/>
        <x:v>0.25505</x:v>
      </x:c>
      <x:c r="F21" s="2">
        <x:f t="shared" si="3"/>
        <x:v>328.76</x:v>
      </x:c>
    </x:row>
    <x:row r="22">
      <x:c r="A22" s="2" t="str">
        <x:f t="shared" si="1"/>
        <x:v>02/09/2026</x:v>
      </x:c>
      <x:c r="B22" s="2" t="e">
        <x:f>IFERROR(__xludf.DUMMYFUNCTION("IF(A22="""","""",SUMPRODUCT(--(LEFT(TO_TEXT(Eventos!B$2:B$1000),10)=A22),--(Eventos!N$2:N$1000&lt;&gt;0),Eventos!I$2:I$1000))"),200.0)</x:f>
        <x:v>#NAME?</x:v>
      </x:c>
      <x:c r="C22" s="2" t="e">
        <x:f>IFERROR(__xludf.DUMMYFUNCTION("IF(A22="""","""",SUMPRODUCT(--(LEFT(TO_TEXT(Eventos!B$2:B$1000),10)=A22),--(Eventos!N$2:N$1000&lt;&gt;0),Eventos!M$2:M$1000))"),175.27)</x:f>
        <x:v>#NAME?</x:v>
      </x:c>
      <x:c r="D22" s="2" t="e">
        <x:f>IFERROR(__xludf.DUMMYFUNCTION("IF(A22="""","""",SUMPRODUCT(--(LEFT(TO_TEXT(Eventos!B$2:B$1000),10)=A22),Eventos!N$2:N$1000))"),-24.73)</x:f>
        <x:v>#NAME?</x:v>
      </x:c>
      <x:c r="E22" s="2">
        <x:f t="shared" si="2"/>
        <x:v>-0.12365</x:v>
      </x:c>
      <x:c r="F22" s="2">
        <x:f t="shared" si="3"/>
        <x:v>304.03</x:v>
      </x:c>
    </x:row>
    <x:row r="23">
      <x:c r="A23" s="2" t="str">
        <x:f t="shared" si="1"/>
        <x:v>03/09/2026</x:v>
      </x:c>
      <x:c r="B23" s="2" t="e">
        <x:f>IFERROR(__xludf.DUMMYFUNCTION("IF(A23="""","""",SUMPRODUCT(--(LEFT(TO_TEXT(Eventos!B$2:B$1000),10)=A23),--(Eventos!N$2:N$1000&lt;&gt;0),Eventos!I$2:I$1000))"),110.0)</x:f>
        <x:v>#NAME?</x:v>
      </x:c>
      <x:c r="C23" s="2" t="e">
        <x:f>IFERROR(__xludf.DUMMYFUNCTION("IF(A23="""","""",SUMPRODUCT(--(LEFT(TO_TEXT(Eventos!B$2:B$1000),10)=A23),--(Eventos!N$2:N$1000&lt;&gt;0),Eventos!M$2:M$1000))"),140.5)</x:f>
        <x:v>#NAME?</x:v>
      </x:c>
      <x:c r="D23" s="2" t="e">
        <x:f>IFERROR(__xludf.DUMMYFUNCTION("IF(A23="""","""",SUMPRODUCT(--(LEFT(TO_TEXT(Eventos!B$2:B$1000),10)=A23),Eventos!N$2:N$1000))"),30.5)</x:f>
        <x:v>#NAME?</x:v>
      </x:c>
      <x:c r="E23" s="2">
        <x:f t="shared" si="2"/>
        <x:v>0.2772727273</x:v>
      </x:c>
      <x:c r="F23" s="2">
        <x:f t="shared" si="3"/>
        <x:v>334.53</x:v>
      </x:c>
    </x:row>
    <x:row r="24">
      <x:c r="A24" s="2" t="str">
        <x:f t="shared" si="1"/>
        <x:v>04/09/2026</x:v>
      </x:c>
      <x:c r="B24" s="2" t="e">
        <x:f>IFERROR(__xludf.DUMMYFUNCTION("IF(A24="""","""",SUMPRODUCT(--(LEFT(TO_TEXT(Eventos!B$2:B$1000),10)=A24),--(Eventos!N$2:N$1000&lt;&gt;0),Eventos!I$2:I$1000))"),0.0)</x:f>
        <x:v>#NAME?</x:v>
      </x:c>
      <x:c r="C24" s="2" t="e">
        <x:f>IFERROR(__xludf.DUMMYFUNCTION("IF(A24="""","""",SUMPRODUCT(--(LEFT(TO_TEXT(Eventos!B$2:B$1000),10)=A24),--(Eventos!N$2:N$1000&lt;&gt;0),Eventos!M$2:M$1000))"),0.0)</x:f>
        <x:v>#NAME?</x:v>
      </x:c>
      <x:c r="D24" s="2" t="e">
        <x:f>IFERROR(__xludf.DUMMYFUNCTION("IF(A24="""","""",SUMPRODUCT(--(LEFT(TO_TEXT(Eventos!B$2:B$1000),10)=A24),Eventos!N$2:N$1000))"),0.0)</x:f>
        <x:v>#NAME?</x:v>
      </x:c>
      <x:c r="E24" s="2">
        <x:f t="shared" si="2"/>
        <x:v>0</x:v>
      </x:c>
      <x:c r="F24" s="2">
        <x:f t="shared" si="3"/>
        <x:v>334.53</x:v>
      </x:c>
    </x:row>
    <x:row r="25">
      <x:c r="A25" s="2" t="str">
        <x:f t="shared" si="1"/>
        <x:v>05/09/2026</x:v>
      </x:c>
      <x:c r="B25" s="2" t="e">
        <x:f>IFERROR(__xludf.DUMMYFUNCTION("IF(A25="""","""",SUMPRODUCT(--(LEFT(TO_TEXT(Eventos!B$2:B$1000),10)=A25),--(Eventos!N$2:N$1000&lt;&gt;0),Eventos!I$2:I$1000))"),221.17000000000002)</x:f>
        <x:v>#NAME?</x:v>
      </x:c>
      <x:c r="C25" s="2" t="e">
        <x:f>IFERROR(__xludf.DUMMYFUNCTION("IF(A25="""","""",SUMPRODUCT(--(LEFT(TO_TEXT(Eventos!B$2:B$1000),10)=A25),--(Eventos!N$2:N$1000&lt;&gt;0),Eventos!M$2:M$1000))"),147.5)</x:f>
        <x:v>#NAME?</x:v>
      </x:c>
      <x:c r="D25" s="2" t="e">
        <x:f>IFERROR(__xludf.DUMMYFUNCTION("IF(A25="""","""",SUMPRODUCT(--(LEFT(TO_TEXT(Eventos!B$2:B$1000),10)=A25),Eventos!N$2:N$1000))"),-73.66999999999999)</x:f>
        <x:v>#NAME?</x:v>
      </x:c>
      <x:c r="E25" s="2">
        <x:f t="shared" si="2"/>
        <x:v>-0.3330921915</x:v>
      </x:c>
      <x:c r="F25" s="2">
        <x:f t="shared" si="3"/>
        <x:v>260.86</x:v>
      </x:c>
    </x:row>
    <x:row r="26">
      <x:c r="A26" s="2" t="str">
        <x:f t="shared" si="1"/>
        <x:v>06/09/2026</x:v>
      </x:c>
      <x:c r="B26" s="2" t="e">
        <x:f>IFERROR(__xludf.DUMMYFUNCTION("IF(A26="""","""",SUMPRODUCT(--(LEFT(TO_TEXT(Eventos!B$2:B$1000),10)=A26),--(Eventos!N$2:N$1000&lt;&gt;0),Eventos!I$2:I$1000))"),360.0)</x:f>
        <x:v>#NAME?</x:v>
      </x:c>
      <x:c r="C26" s="2" t="e">
        <x:f>IFERROR(__xludf.DUMMYFUNCTION("IF(A26="""","""",SUMPRODUCT(--(LEFT(TO_TEXT(Eventos!B$2:B$1000),10)=A26),--(Eventos!N$2:N$1000&lt;&gt;0),Eventos!M$2:M$1000))"),506.6)</x:f>
        <x:v>#NAME?</x:v>
      </x:c>
      <x:c r="D26" s="2" t="e">
        <x:f>IFERROR(__xludf.DUMMYFUNCTION("IF(A26="""","""",SUMPRODUCT(--(LEFT(TO_TEXT(Eventos!B$2:B$1000),10)=A26),Eventos!N$2:N$1000))"),146.6)</x:f>
        <x:v>#NAME?</x:v>
      </x:c>
      <x:c r="E26" s="2">
        <x:f t="shared" si="2"/>
        <x:v>0.4072222222</x:v>
      </x:c>
      <x:c r="F26" s="2">
        <x:f t="shared" si="3"/>
        <x:v>407.46</x:v>
      </x:c>
    </x:row>
    <x:row r="27">
      <x:c r="A27" s="2" t="str">
        <x:f t="shared" si="1"/>
        <x:v>07/09/2026</x:v>
      </x:c>
      <x:c r="B27" s="2" t="e">
        <x:f>IFERROR(__xludf.DUMMYFUNCTION("IF(A27="""","""",SUMPRODUCT(--(LEFT(TO_TEXT(Eventos!B$2:B$1000),10)=A27),--(Eventos!N$2:N$1000&lt;&gt;0),Eventos!I$2:I$1000))"),237.0)</x:f>
        <x:v>#NAME?</x:v>
      </x:c>
      <x:c r="C27" s="2" t="e">
        <x:f>IFERROR(__xludf.DUMMYFUNCTION("IF(A27="""","""",SUMPRODUCT(--(LEFT(TO_TEXT(Eventos!B$2:B$1000),10)=A27),--(Eventos!N$2:N$1000&lt;&gt;0),Eventos!M$2:M$1000))"),247.40000000000003)</x:f>
        <x:v>#NAME?</x:v>
      </x:c>
      <x:c r="D27" s="2" t="e">
        <x:f>IFERROR(__xludf.DUMMYFUNCTION("IF(A27="""","""",SUMPRODUCT(--(LEFT(TO_TEXT(Eventos!B$2:B$1000),10)=A27),Eventos!N$2:N$1000))"),10.399999999999999)</x:f>
        <x:v>#NAME?</x:v>
      </x:c>
      <x:c r="E27" s="2">
        <x:f t="shared" si="2"/>
        <x:v>0.04388185654</x:v>
      </x:c>
      <x:c r="F27" s="2">
        <x:f t="shared" si="3"/>
        <x:v>417.86</x:v>
      </x:c>
    </x:row>
    <x:row r="28">
      <x:c r="A28" s="2" t="str">
        <x:f t="shared" si="1"/>
        <x:v>08/09/2026</x:v>
      </x:c>
      <x:c r="B28" s="2" t="n">
        <x:v>260</x:v>
      </x:c>
      <x:c r="C28" s="2" t="n">
        <x:v>271</x:v>
      </x:c>
      <x:c r="D28" s="2" t="n">
        <x:v>11</x:v>
      </x:c>
      <x:c r="E28" s="2" t="n">
        <x:f t="shared" si="2"/>
        <x:v>0.04230769230769231</x:v>
      </x:c>
      <x:c r="F28" s="2" t="n">
        <x:f t="shared" si="3"/>
        <x:v>428.86</x:v>
      </x:c>
    </x:row>
    <x:row r="29">
      <x:c r="A29" s="2" t="str">
        <x:f t="shared" si="1"/>
      </x:c>
      <x:c r="B29" s="2" t="e">
        <x:f>IFERROR(__xludf.DUMMYFUNCTION("IF(A29="""","""",SUMPRODUCT(--(LEFT(TO_TEXT(Eventos!B$2:B$1000),10)=A29),--(Eventos!N$2:N$1000&lt;&gt;0),Eventos!I$2:I$1000))"),"")</x:f>
        <x:v>#NAME?</x:v>
      </x:c>
      <x:c r="C29" s="2" t="e">
        <x:f>IFERROR(__xludf.DUMMYFUNCTION("IF(A29="""","""",SUMPRODUCT(--(LEFT(TO_TEXT(Eventos!B$2:B$1000),10)=A29),--(Eventos!N$2:N$1000&lt;&gt;0),Eventos!M$2:M$1000))"),"")</x:f>
        <x:v>#NAME?</x:v>
      </x:c>
      <x:c r="D29" s="2" t="e">
        <x:f>IFERROR(__xludf.DUMMYFUNCTION("IF(A29="""","""",SUMPRODUCT(--(LEFT(TO_TEXT(Eventos!B$2:B$1000),10)=A29),Eventos!N$2:N$1000))"),"")</x:f>
        <x:v>#NAME?</x:v>
      </x:c>
      <x:c r="E29" s="2" t="str">
        <x:f t="shared" si="2"/>
      </x:c>
      <x:c r="F29" s="2" t="str">
        <x:f t="shared" si="3"/>
      </x:c>
    </x:row>
    <x:row r="30">
      <x:c r="A30" s="2" t="str">
        <x:f t="shared" si="1"/>
      </x:c>
      <x:c r="B30" s="2" t="e">
        <x:f>IFERROR(__xludf.DUMMYFUNCTION("IF(A30="""","""",SUMPRODUCT(--(LEFT(TO_TEXT(Eventos!B$2:B$1000),10)=A30),--(Eventos!N$2:N$1000&lt;&gt;0),Eventos!I$2:I$1000))"),"")</x:f>
        <x:v>#NAME?</x:v>
      </x:c>
      <x:c r="C30" s="2" t="e">
        <x:f>IFERROR(__xludf.DUMMYFUNCTION("IF(A30="""","""",SUMPRODUCT(--(LEFT(TO_TEXT(Eventos!B$2:B$1000),10)=A30),--(Eventos!N$2:N$1000&lt;&gt;0),Eventos!M$2:M$1000))"),"")</x:f>
        <x:v>#NAME?</x:v>
      </x:c>
      <x:c r="D30" s="2" t="e">
        <x:f>IFERROR(__xludf.DUMMYFUNCTION("IF(A30="""","""",SUMPRODUCT(--(LEFT(TO_TEXT(Eventos!B$2:B$1000),10)=A30),Eventos!N$2:N$1000))"),"")</x:f>
        <x:v>#NAME?</x:v>
      </x:c>
      <x:c r="E30" s="2" t="str">
        <x:f t="shared" si="2"/>
      </x:c>
      <x:c r="F30" s="2" t="str">
        <x:f t="shared" si="3"/>
      </x:c>
    </x:row>
    <x:row r="31">
      <x:c r="A31" s="2" t="str">
        <x:f t="shared" ref="A31:A400" si="4">IF(DATE(2026,8,25)+ROW()-7&lt;=TODAY(),TEXT(DATE(2026,8,25)+ROW()-7,"dd/mm/yyyy"),"")</x:f>
      </x:c>
      <x:c r="B31" s="2" t="e">
        <x:f>IFERROR(__xludf.DUMMYFUNCTION("IF(A31="""","""",SUMPRODUCT(--(LEFT(TO_TEXT(Eventos!B$2:B$1000),10)=A31),--(Eventos!N$2:N$1000&lt;&gt;0),Eventos!I$2:I$1000))"),"")</x:f>
        <x:v>#NAME?</x:v>
      </x:c>
      <x:c r="C31" s="2" t="e">
        <x:f>IFERROR(__xludf.DUMMYFUNCTION("IF(A31="""","""",SUMPRODUCT(--(LEFT(TO_TEXT(Eventos!B$2:B$1000),10)=A31),--(Eventos!N$2:N$1000&lt;&gt;0),Eventos!M$2:M$1000))"),"")</x:f>
        <x:v>#NAME?</x:v>
      </x:c>
      <x:c r="D31" s="2" t="e">
        <x:f>IFERROR(__xludf.DUMMYFUNCTION("IF(A31="""","""",SUMPRODUCT(--(LEFT(TO_TEXT(Eventos!B$2:B$1000),10)=A31),Eventos!N$2:N$1000))"),"")</x:f>
        <x:v>#NAME?</x:v>
      </x:c>
      <x:c r="E31" s="2" t="str">
        <x:f t="shared" si="2"/>
      </x:c>
      <x:c r="F31" s="2" t="str">
        <x:f t="shared" ref="F31:F400" si="5">IF(A31="","",$B$2+$B$3+SUM($D$7:D31))</x:f>
      </x:c>
    </x:row>
    <x:row r="32">
      <x:c r="A32" s="2" t="str">
        <x:f t="shared" si="4"/>
      </x:c>
      <x:c r="B32" s="2" t="e">
        <x:f>IFERROR(__xludf.DUMMYFUNCTION("IF(A32="""","""",SUMPRODUCT(--(LEFT(TO_TEXT(Eventos!B$2:B$1000),10)=A32),--(Eventos!N$2:N$1000&lt;&gt;0),Eventos!I$2:I$1000))"),"")</x:f>
        <x:v>#NAME?</x:v>
      </x:c>
      <x:c r="C32" s="2" t="e">
        <x:f>IFERROR(__xludf.DUMMYFUNCTION("IF(A32="""","""",SUMPRODUCT(--(LEFT(TO_TEXT(Eventos!B$2:B$1000),10)=A32),--(Eventos!N$2:N$1000&lt;&gt;0),Eventos!M$2:M$1000))"),"")</x:f>
        <x:v>#NAME?</x:v>
      </x:c>
      <x:c r="D32" s="2" t="e">
        <x:f>IFERROR(__xludf.DUMMYFUNCTION("IF(A32="""","""",SUMPRODUCT(--(LEFT(TO_TEXT(Eventos!B$2:B$1000),10)=A32),Eventos!N$2:N$1000))"),"")</x:f>
        <x:v>#NAME?</x:v>
      </x:c>
      <x:c r="E32" s="2" t="str">
        <x:f t="shared" si="2"/>
      </x:c>
      <x:c r="F32" s="2" t="str">
        <x:f t="shared" si="5"/>
      </x:c>
    </x:row>
    <x:row r="33">
      <x:c r="A33" s="2" t="str">
        <x:f t="shared" si="4"/>
      </x:c>
      <x:c r="B33" s="2" t="e">
        <x:f>IFERROR(__xludf.DUMMYFUNCTION("IF(A33="""","""",SUMPRODUCT(--(LEFT(TO_TEXT(Eventos!B$2:B$1000),10)=A33),--(Eventos!N$2:N$1000&lt;&gt;0),Eventos!I$2:I$1000))"),"")</x:f>
        <x:v>#NAME?</x:v>
      </x:c>
      <x:c r="C33" s="2" t="e">
        <x:f>IFERROR(__xludf.DUMMYFUNCTION("IF(A33="""","""",SUMPRODUCT(--(LEFT(TO_TEXT(Eventos!B$2:B$1000),10)=A33),--(Eventos!N$2:N$1000&lt;&gt;0),Eventos!M$2:M$1000))"),"")</x:f>
        <x:v>#NAME?</x:v>
      </x:c>
      <x:c r="D33" s="2" t="e">
        <x:f>IFERROR(__xludf.DUMMYFUNCTION("IF(A33="""","""",SUMPRODUCT(--(LEFT(TO_TEXT(Eventos!B$2:B$1000),10)=A33),Eventos!N$2:N$1000))"),"")</x:f>
        <x:v>#NAME?</x:v>
      </x:c>
      <x:c r="E33" s="2" t="str">
        <x:f t="shared" si="2"/>
      </x:c>
      <x:c r="F33" s="2" t="str">
        <x:f t="shared" si="5"/>
      </x:c>
    </x:row>
    <x:row r="34">
      <x:c r="A34" s="2" t="str">
        <x:f t="shared" si="4"/>
      </x:c>
      <x:c r="B34" s="2" t="e">
        <x:f>IFERROR(__xludf.DUMMYFUNCTION("IF(A34="""","""",SUMPRODUCT(--(LEFT(TO_TEXT(Eventos!B$2:B$1000),10)=A34),--(Eventos!N$2:N$1000&lt;&gt;0),Eventos!I$2:I$1000))"),"")</x:f>
        <x:v>#NAME?</x:v>
      </x:c>
      <x:c r="C34" s="2" t="e">
        <x:f>IFERROR(__xludf.DUMMYFUNCTION("IF(A34="""","""",SUMPRODUCT(--(LEFT(TO_TEXT(Eventos!B$2:B$1000),10)=A34),--(Eventos!N$2:N$1000&lt;&gt;0),Eventos!M$2:M$1000))"),"")</x:f>
        <x:v>#NAME?</x:v>
      </x:c>
      <x:c r="D34" s="2" t="e">
        <x:f>IFERROR(__xludf.DUMMYFUNCTION("IF(A34="""","""",SUMPRODUCT(--(LEFT(TO_TEXT(Eventos!B$2:B$1000),10)=A34),Eventos!N$2:N$1000))"),"")</x:f>
        <x:v>#NAME?</x:v>
      </x:c>
      <x:c r="E34" s="2" t="str">
        <x:f t="shared" si="2"/>
      </x:c>
      <x:c r="F34" s="2" t="str">
        <x:f t="shared" si="5"/>
      </x:c>
    </x:row>
    <x:row r="35">
      <x:c r="A35" s="2" t="str">
        <x:f t="shared" si="4"/>
      </x:c>
      <x:c r="B35" s="2" t="e">
        <x:f>IFERROR(__xludf.DUMMYFUNCTION("IF(A35="""","""",SUMPRODUCT(--(LEFT(TO_TEXT(Eventos!B$2:B$1000),10)=A35),--(Eventos!N$2:N$1000&lt;&gt;0),Eventos!I$2:I$1000))"),"")</x:f>
        <x:v>#NAME?</x:v>
      </x:c>
      <x:c r="C35" s="2" t="e">
        <x:f>IFERROR(__xludf.DUMMYFUNCTION("IF(A35="""","""",SUMPRODUCT(--(LEFT(TO_TEXT(Eventos!B$2:B$1000),10)=A35),--(Eventos!N$2:N$1000&lt;&gt;0),Eventos!M$2:M$1000))"),"")</x:f>
        <x:v>#NAME?</x:v>
      </x:c>
      <x:c r="D35" s="2" t="e">
        <x:f>IFERROR(__xludf.DUMMYFUNCTION("IF(A35="""","""",SUMPRODUCT(--(LEFT(TO_TEXT(Eventos!B$2:B$1000),10)=A35),Eventos!N$2:N$1000))"),"")</x:f>
        <x:v>#NAME?</x:v>
      </x:c>
      <x:c r="E35" s="2" t="str">
        <x:f t="shared" si="2"/>
      </x:c>
      <x:c r="F35" s="2" t="str">
        <x:f t="shared" si="5"/>
      </x:c>
    </x:row>
    <x:row r="36">
      <x:c r="A36" s="2" t="str">
        <x:f t="shared" si="4"/>
      </x:c>
      <x:c r="B36" s="2" t="e">
        <x:f>IFERROR(__xludf.DUMMYFUNCTION("IF(A36="""","""",SUMPRODUCT(--(LEFT(TO_TEXT(Eventos!B$2:B$1000),10)=A36),--(Eventos!N$2:N$1000&lt;&gt;0),Eventos!I$2:I$1000))"),"")</x:f>
        <x:v>#NAME?</x:v>
      </x:c>
      <x:c r="C36" s="2" t="e">
        <x:f>IFERROR(__xludf.DUMMYFUNCTION("IF(A36="""","""",SUMPRODUCT(--(LEFT(TO_TEXT(Eventos!B$2:B$1000),10)=A36),--(Eventos!N$2:N$1000&lt;&gt;0),Eventos!M$2:M$1000))"),"")</x:f>
        <x:v>#NAME?</x:v>
      </x:c>
      <x:c r="D36" s="2" t="e">
        <x:f>IFERROR(__xludf.DUMMYFUNCTION("IF(A36="""","""",SUMPRODUCT(--(LEFT(TO_TEXT(Eventos!B$2:B$1000),10)=A36),Eventos!N$2:N$1000))"),"")</x:f>
        <x:v>#NAME?</x:v>
      </x:c>
      <x:c r="E36" s="2" t="str">
        <x:f t="shared" si="2"/>
      </x:c>
      <x:c r="F36" s="2" t="str">
        <x:f t="shared" si="5"/>
      </x:c>
    </x:row>
    <x:row r="37">
      <x:c r="A37" s="2" t="str">
        <x:f t="shared" si="4"/>
      </x:c>
      <x:c r="B37" s="2" t="e">
        <x:f>IFERROR(__xludf.DUMMYFUNCTION("IF(A37="""","""",SUMPRODUCT(--(LEFT(TO_TEXT(Eventos!B$2:B$1000),10)=A37),--(Eventos!N$2:N$1000&lt;&gt;0),Eventos!I$2:I$1000))"),"")</x:f>
        <x:v>#NAME?</x:v>
      </x:c>
      <x:c r="C37" s="2" t="e">
        <x:f>IFERROR(__xludf.DUMMYFUNCTION("IF(A37="""","""",SUMPRODUCT(--(LEFT(TO_TEXT(Eventos!B$2:B$1000),10)=A37),--(Eventos!N$2:N$1000&lt;&gt;0),Eventos!M$2:M$1000))"),"")</x:f>
        <x:v>#NAME?</x:v>
      </x:c>
      <x:c r="D37" s="2" t="e">
        <x:f>IFERROR(__xludf.DUMMYFUNCTION("IF(A37="""","""",SUMPRODUCT(--(LEFT(TO_TEXT(Eventos!B$2:B$1000),10)=A37),Eventos!N$2:N$1000))"),"")</x:f>
        <x:v>#NAME?</x:v>
      </x:c>
      <x:c r="E37" s="2" t="str">
        <x:f t="shared" si="2"/>
      </x:c>
      <x:c r="F37" s="2" t="str">
        <x:f t="shared" si="5"/>
      </x:c>
    </x:row>
    <x:row r="38">
      <x:c r="A38" s="2" t="str">
        <x:f t="shared" si="4"/>
      </x:c>
      <x:c r="B38" s="2" t="e">
        <x:f>IFERROR(__xludf.DUMMYFUNCTION("IF(A38="""","""",SUMPRODUCT(--(LEFT(TO_TEXT(Eventos!B$2:B$1000),10)=A38),--(Eventos!N$2:N$1000&lt;&gt;0),Eventos!I$2:I$1000))"),"")</x:f>
        <x:v>#NAME?</x:v>
      </x:c>
      <x:c r="C38" s="2" t="e">
        <x:f>IFERROR(__xludf.DUMMYFUNCTION("IF(A38="""","""",SUMPRODUCT(--(LEFT(TO_TEXT(Eventos!B$2:B$1000),10)=A38),--(Eventos!N$2:N$1000&lt;&gt;0),Eventos!M$2:M$1000))"),"")</x:f>
        <x:v>#NAME?</x:v>
      </x:c>
      <x:c r="D38" s="2" t="e">
        <x:f>IFERROR(__xludf.DUMMYFUNCTION("IF(A38="""","""",SUMPRODUCT(--(LEFT(TO_TEXT(Eventos!B$2:B$1000),10)=A38),Eventos!N$2:N$1000))"),"")</x:f>
        <x:v>#NAME?</x:v>
      </x:c>
      <x:c r="E38" s="2" t="str">
        <x:f t="shared" si="2"/>
      </x:c>
      <x:c r="F38" s="2" t="str">
        <x:f t="shared" si="5"/>
      </x:c>
    </x:row>
    <x:row r="39">
      <x:c r="A39" s="2" t="str">
        <x:f t="shared" si="4"/>
      </x:c>
      <x:c r="B39" s="2" t="e">
        <x:f>IFERROR(__xludf.DUMMYFUNCTION("IF(A39="""","""",SUMPRODUCT(--(LEFT(TO_TEXT(Eventos!B$2:B$1000),10)=A39),--(Eventos!N$2:N$1000&lt;&gt;0),Eventos!I$2:I$1000))"),"")</x:f>
        <x:v>#NAME?</x:v>
      </x:c>
      <x:c r="C39" s="2" t="e">
        <x:f>IFERROR(__xludf.DUMMYFUNCTION("IF(A39="""","""",SUMPRODUCT(--(LEFT(TO_TEXT(Eventos!B$2:B$1000),10)=A39),--(Eventos!N$2:N$1000&lt;&gt;0),Eventos!M$2:M$1000))"),"")</x:f>
        <x:v>#NAME?</x:v>
      </x:c>
      <x:c r="D39" s="2" t="e">
        <x:f>IFERROR(__xludf.DUMMYFUNCTION("IF(A39="""","""",SUMPRODUCT(--(LEFT(TO_TEXT(Eventos!B$2:B$1000),10)=A39),Eventos!N$2:N$1000))"),"")</x:f>
        <x:v>#NAME?</x:v>
      </x:c>
      <x:c r="E39" s="2" t="str">
        <x:f t="shared" si="2"/>
      </x:c>
      <x:c r="F39" s="2" t="str">
        <x:f t="shared" si="5"/>
      </x:c>
    </x:row>
    <x:row r="40">
      <x:c r="A40" s="2" t="str">
        <x:f t="shared" si="4"/>
      </x:c>
      <x:c r="B40" s="2" t="e">
        <x:f>IFERROR(__xludf.DUMMYFUNCTION("IF(A40="""","""",SUMPRODUCT(--(LEFT(TO_TEXT(Eventos!B$2:B$1000),10)=A40),--(Eventos!N$2:N$1000&lt;&gt;0),Eventos!I$2:I$1000))"),"")</x:f>
        <x:v>#NAME?</x:v>
      </x:c>
      <x:c r="C40" s="2" t="e">
        <x:f>IFERROR(__xludf.DUMMYFUNCTION("IF(A40="""","""",SUMPRODUCT(--(LEFT(TO_TEXT(Eventos!B$2:B$1000),10)=A40),--(Eventos!N$2:N$1000&lt;&gt;0),Eventos!M$2:M$1000))"),"")</x:f>
        <x:v>#NAME?</x:v>
      </x:c>
      <x:c r="D40" s="2" t="e">
        <x:f>IFERROR(__xludf.DUMMYFUNCTION("IF(A40="""","""",SUMPRODUCT(--(LEFT(TO_TEXT(Eventos!B$2:B$1000),10)=A40),Eventos!N$2:N$1000))"),"")</x:f>
        <x:v>#NAME?</x:v>
      </x:c>
      <x:c r="E40" s="2" t="str">
        <x:f t="shared" si="2"/>
      </x:c>
      <x:c r="F40" s="2" t="str">
        <x:f t="shared" si="5"/>
      </x:c>
    </x:row>
    <x:row r="41">
      <x:c r="A41" s="2" t="str">
        <x:f t="shared" si="4"/>
      </x:c>
      <x:c r="B41" s="2" t="e">
        <x:f>IFERROR(__xludf.DUMMYFUNCTION("IF(A41="""","""",SUMPRODUCT(--(LEFT(TO_TEXT(Eventos!B$2:B$1000),10)=A41),--(Eventos!N$2:N$1000&lt;&gt;0),Eventos!I$2:I$1000))"),"")</x:f>
        <x:v>#NAME?</x:v>
      </x:c>
      <x:c r="C41" s="2" t="e">
        <x:f>IFERROR(__xludf.DUMMYFUNCTION("IF(A41="""","""",SUMPRODUCT(--(LEFT(TO_TEXT(Eventos!B$2:B$1000),10)=A41),--(Eventos!N$2:N$1000&lt;&gt;0),Eventos!M$2:M$1000))"),"")</x:f>
        <x:v>#NAME?</x:v>
      </x:c>
      <x:c r="D41" s="2" t="e">
        <x:f>IFERROR(__xludf.DUMMYFUNCTION("IF(A41="""","""",SUMPRODUCT(--(LEFT(TO_TEXT(Eventos!B$2:B$1000),10)=A41),Eventos!N$2:N$1000))"),"")</x:f>
        <x:v>#NAME?</x:v>
      </x:c>
      <x:c r="E41" s="2" t="str">
        <x:f t="shared" si="2"/>
      </x:c>
      <x:c r="F41" s="2" t="str">
        <x:f t="shared" si="5"/>
      </x:c>
    </x:row>
    <x:row r="42">
      <x:c r="A42" s="2" t="str">
        <x:f t="shared" si="4"/>
      </x:c>
      <x:c r="B42" s="2" t="e">
        <x:f>IFERROR(__xludf.DUMMYFUNCTION("IF(A42="""","""",SUMPRODUCT(--(LEFT(TO_TEXT(Eventos!B$2:B$1000),10)=A42),--(Eventos!N$2:N$1000&lt;&gt;0),Eventos!I$2:I$1000))"),"")</x:f>
        <x:v>#NAME?</x:v>
      </x:c>
      <x:c r="C42" s="2" t="e">
        <x:f>IFERROR(__xludf.DUMMYFUNCTION("IF(A42="""","""",SUMPRODUCT(--(LEFT(TO_TEXT(Eventos!B$2:B$1000),10)=A42),--(Eventos!N$2:N$1000&lt;&gt;0),Eventos!M$2:M$1000))"),"")</x:f>
        <x:v>#NAME?</x:v>
      </x:c>
      <x:c r="D42" s="2" t="e">
        <x:f>IFERROR(__xludf.DUMMYFUNCTION("IF(A42="""","""",SUMPRODUCT(--(LEFT(TO_TEXT(Eventos!B$2:B$1000),10)=A42),Eventos!N$2:N$1000))"),"")</x:f>
        <x:v>#NAME?</x:v>
      </x:c>
      <x:c r="E42" s="2" t="str">
        <x:f t="shared" si="2"/>
      </x:c>
      <x:c r="F42" s="2" t="str">
        <x:f t="shared" si="5"/>
      </x:c>
    </x:row>
    <x:row r="43">
      <x:c r="A43" s="2" t="str">
        <x:f t="shared" si="4"/>
      </x:c>
      <x:c r="B43" s="2" t="e">
        <x:f>IFERROR(__xludf.DUMMYFUNCTION("IF(A43="""","""",SUMPRODUCT(--(LEFT(TO_TEXT(Eventos!B$2:B$1000),10)=A43),--(Eventos!N$2:N$1000&lt;&gt;0),Eventos!I$2:I$1000))"),"")</x:f>
        <x:v>#NAME?</x:v>
      </x:c>
      <x:c r="C43" s="2" t="e">
        <x:f>IFERROR(__xludf.DUMMYFUNCTION("IF(A43="""","""",SUMPRODUCT(--(LEFT(TO_TEXT(Eventos!B$2:B$1000),10)=A43),--(Eventos!N$2:N$1000&lt;&gt;0),Eventos!M$2:M$1000))"),"")</x:f>
        <x:v>#NAME?</x:v>
      </x:c>
      <x:c r="D43" s="2" t="e">
        <x:f>IFERROR(__xludf.DUMMYFUNCTION("IF(A43="""","""",SUMPRODUCT(--(LEFT(TO_TEXT(Eventos!B$2:B$1000),10)=A43),Eventos!N$2:N$1000))"),"")</x:f>
        <x:v>#NAME?</x:v>
      </x:c>
      <x:c r="E43" s="2" t="str">
        <x:f t="shared" si="2"/>
      </x:c>
      <x:c r="F43" s="2" t="str">
        <x:f t="shared" si="5"/>
      </x:c>
    </x:row>
    <x:row r="44">
      <x:c r="A44" s="2" t="str">
        <x:f t="shared" si="4"/>
      </x:c>
      <x:c r="B44" s="2" t="e">
        <x:f>IFERROR(__xludf.DUMMYFUNCTION("IF(A44="""","""",SUMPRODUCT(--(LEFT(TO_TEXT(Eventos!B$2:B$1000),10)=A44),--(Eventos!N$2:N$1000&lt;&gt;0),Eventos!I$2:I$1000))"),"")</x:f>
        <x:v>#NAME?</x:v>
      </x:c>
      <x:c r="C44" s="2" t="e">
        <x:f>IFERROR(__xludf.DUMMYFUNCTION("IF(A44="""","""",SUMPRODUCT(--(LEFT(TO_TEXT(Eventos!B$2:B$1000),10)=A44),--(Eventos!N$2:N$1000&lt;&gt;0),Eventos!M$2:M$1000))"),"")</x:f>
        <x:v>#NAME?</x:v>
      </x:c>
      <x:c r="D44" s="2" t="e">
        <x:f>IFERROR(__xludf.DUMMYFUNCTION("IF(A44="""","""",SUMPRODUCT(--(LEFT(TO_TEXT(Eventos!B$2:B$1000),10)=A44),Eventos!N$2:N$1000))"),"")</x:f>
        <x:v>#NAME?</x:v>
      </x:c>
      <x:c r="E44" s="2" t="str">
        <x:f t="shared" si="2"/>
      </x:c>
      <x:c r="F44" s="2" t="str">
        <x:f t="shared" si="5"/>
      </x:c>
    </x:row>
    <x:row r="45">
      <x:c r="A45" s="2" t="str">
        <x:f t="shared" si="4"/>
      </x:c>
      <x:c r="B45" s="2" t="e">
        <x:f>IFERROR(__xludf.DUMMYFUNCTION("IF(A45="""","""",SUMPRODUCT(--(LEFT(TO_TEXT(Eventos!B$2:B$1000),10)=A45),--(Eventos!N$2:N$1000&lt;&gt;0),Eventos!I$2:I$1000))"),"")</x:f>
        <x:v>#NAME?</x:v>
      </x:c>
      <x:c r="C45" s="2" t="e">
        <x:f>IFERROR(__xludf.DUMMYFUNCTION("IF(A45="""","""",SUMPRODUCT(--(LEFT(TO_TEXT(Eventos!B$2:B$1000),10)=A45),--(Eventos!N$2:N$1000&lt;&gt;0),Eventos!M$2:M$1000))"),"")</x:f>
        <x:v>#NAME?</x:v>
      </x:c>
      <x:c r="D45" s="2" t="e">
        <x:f>IFERROR(__xludf.DUMMYFUNCTION("IF(A45="""","""",SUMPRODUCT(--(LEFT(TO_TEXT(Eventos!B$2:B$1000),10)=A45),Eventos!N$2:N$1000))"),"")</x:f>
        <x:v>#NAME?</x:v>
      </x:c>
      <x:c r="E45" s="2" t="str">
        <x:f t="shared" si="2"/>
      </x:c>
      <x:c r="F45" s="2" t="str">
        <x:f t="shared" si="5"/>
      </x:c>
    </x:row>
    <x:row r="46">
      <x:c r="A46" s="2" t="str">
        <x:f t="shared" si="4"/>
      </x:c>
      <x:c r="B46" s="2" t="e">
        <x:f>IFERROR(__xludf.DUMMYFUNCTION("IF(A46="""","""",SUMPRODUCT(--(LEFT(TO_TEXT(Eventos!B$2:B$1000),10)=A46),--(Eventos!N$2:N$1000&lt;&gt;0),Eventos!I$2:I$1000))"),"")</x:f>
        <x:v>#NAME?</x:v>
      </x:c>
      <x:c r="C46" s="2" t="e">
        <x:f>IFERROR(__xludf.DUMMYFUNCTION("IF(A46="""","""",SUMPRODUCT(--(LEFT(TO_TEXT(Eventos!B$2:B$1000),10)=A46),--(Eventos!N$2:N$1000&lt;&gt;0),Eventos!M$2:M$1000))"),"")</x:f>
        <x:v>#NAME?</x:v>
      </x:c>
      <x:c r="D46" s="2" t="e">
        <x:f>IFERROR(__xludf.DUMMYFUNCTION("IF(A46="""","""",SUMPRODUCT(--(LEFT(TO_TEXT(Eventos!B$2:B$1000),10)=A46),Eventos!N$2:N$1000))"),"")</x:f>
        <x:v>#NAME?</x:v>
      </x:c>
      <x:c r="E46" s="2" t="str">
        <x:f t="shared" si="2"/>
      </x:c>
      <x:c r="F46" s="2" t="str">
        <x:f t="shared" si="5"/>
      </x:c>
    </x:row>
    <x:row r="47">
      <x:c r="A47" s="2" t="str">
        <x:f t="shared" si="4"/>
      </x:c>
      <x:c r="B47" s="2" t="e">
        <x:f>IFERROR(__xludf.DUMMYFUNCTION("IF(A47="""","""",SUMPRODUCT(--(LEFT(TO_TEXT(Eventos!B$2:B$1000),10)=A47),--(Eventos!N$2:N$1000&lt;&gt;0),Eventos!I$2:I$1000))"),"")</x:f>
        <x:v>#NAME?</x:v>
      </x:c>
      <x:c r="C47" s="2" t="e">
        <x:f>IFERROR(__xludf.DUMMYFUNCTION("IF(A47="""","""",SUMPRODUCT(--(LEFT(TO_TEXT(Eventos!B$2:B$1000),10)=A47),--(Eventos!N$2:N$1000&lt;&gt;0),Eventos!M$2:M$1000))"),"")</x:f>
        <x:v>#NAME?</x:v>
      </x:c>
      <x:c r="D47" s="2" t="e">
        <x:f>IFERROR(__xludf.DUMMYFUNCTION("IF(A47="""","""",SUMPRODUCT(--(LEFT(TO_TEXT(Eventos!B$2:B$1000),10)=A47),Eventos!N$2:N$1000))"),"")</x:f>
        <x:v>#NAME?</x:v>
      </x:c>
      <x:c r="E47" s="2" t="str">
        <x:f t="shared" si="2"/>
      </x:c>
      <x:c r="F47" s="2" t="str">
        <x:f t="shared" si="5"/>
      </x:c>
    </x:row>
    <x:row r="48">
      <x:c r="A48" s="2" t="str">
        <x:f t="shared" si="4"/>
      </x:c>
      <x:c r="B48" s="2" t="e">
        <x:f>IFERROR(__xludf.DUMMYFUNCTION("IF(A48="""","""",SUMPRODUCT(--(LEFT(TO_TEXT(Eventos!B$2:B$1000),10)=A48),--(Eventos!N$2:N$1000&lt;&gt;0),Eventos!I$2:I$1000))"),"")</x:f>
        <x:v>#NAME?</x:v>
      </x:c>
      <x:c r="C48" s="2" t="e">
        <x:f>IFERROR(__xludf.DUMMYFUNCTION("IF(A48="""","""",SUMPRODUCT(--(LEFT(TO_TEXT(Eventos!B$2:B$1000),10)=A48),--(Eventos!N$2:N$1000&lt;&gt;0),Eventos!M$2:M$1000))"),"")</x:f>
        <x:v>#NAME?</x:v>
      </x:c>
      <x:c r="D48" s="2" t="e">
        <x:f>IFERROR(__xludf.DUMMYFUNCTION("IF(A48="""","""",SUMPRODUCT(--(LEFT(TO_TEXT(Eventos!B$2:B$1000),10)=A48),Eventos!N$2:N$1000))"),"")</x:f>
        <x:v>#NAME?</x:v>
      </x:c>
      <x:c r="E48" s="2" t="str">
        <x:f t="shared" si="2"/>
      </x:c>
      <x:c r="F48" s="2" t="str">
        <x:f t="shared" si="5"/>
      </x:c>
    </x:row>
    <x:row r="49">
      <x:c r="A49" s="2" t="str">
        <x:f t="shared" si="4"/>
      </x:c>
      <x:c r="B49" s="2" t="e">
        <x:f>IFERROR(__xludf.DUMMYFUNCTION("IF(A49="""","""",SUMPRODUCT(--(LEFT(TO_TEXT(Eventos!B$2:B$1000),10)=A49),--(Eventos!N$2:N$1000&lt;&gt;0),Eventos!I$2:I$1000))"),"")</x:f>
        <x:v>#NAME?</x:v>
      </x:c>
      <x:c r="C49" s="2" t="e">
        <x:f>IFERROR(__xludf.DUMMYFUNCTION("IF(A49="""","""",SUMPRODUCT(--(LEFT(TO_TEXT(Eventos!B$2:B$1000),10)=A49),--(Eventos!N$2:N$1000&lt;&gt;0),Eventos!M$2:M$1000))"),"")</x:f>
        <x:v>#NAME?</x:v>
      </x:c>
      <x:c r="D49" s="2" t="e">
        <x:f>IFERROR(__xludf.DUMMYFUNCTION("IF(A49="""","""",SUMPRODUCT(--(LEFT(TO_TEXT(Eventos!B$2:B$1000),10)=A49),Eventos!N$2:N$1000))"),"")</x:f>
        <x:v>#NAME?</x:v>
      </x:c>
      <x:c r="E49" s="2" t="str">
        <x:f t="shared" si="2"/>
      </x:c>
      <x:c r="F49" s="2" t="str">
        <x:f t="shared" si="5"/>
      </x:c>
    </x:row>
    <x:row r="50">
      <x:c r="A50" s="2" t="str">
        <x:f t="shared" si="4"/>
      </x:c>
      <x:c r="B50" s="2" t="e">
        <x:f>IFERROR(__xludf.DUMMYFUNCTION("IF(A50="""","""",SUMPRODUCT(--(LEFT(TO_TEXT(Eventos!B$2:B$1000),10)=A50),--(Eventos!N$2:N$1000&lt;&gt;0),Eventos!I$2:I$1000))"),"")</x:f>
        <x:v>#NAME?</x:v>
      </x:c>
      <x:c r="C50" s="2" t="e">
        <x:f>IFERROR(__xludf.DUMMYFUNCTION("IF(A50="""","""",SUMPRODUCT(--(LEFT(TO_TEXT(Eventos!B$2:B$1000),10)=A50),--(Eventos!N$2:N$1000&lt;&gt;0),Eventos!M$2:M$1000))"),"")</x:f>
        <x:v>#NAME?</x:v>
      </x:c>
      <x:c r="D50" s="2" t="e">
        <x:f>IFERROR(__xludf.DUMMYFUNCTION("IF(A50="""","""",SUMPRODUCT(--(LEFT(TO_TEXT(Eventos!B$2:B$1000),10)=A50),Eventos!N$2:N$1000))"),"")</x:f>
        <x:v>#NAME?</x:v>
      </x:c>
      <x:c r="E50" s="2" t="str">
        <x:f t="shared" si="2"/>
      </x:c>
      <x:c r="F50" s="2" t="str">
        <x:f t="shared" si="5"/>
      </x:c>
    </x:row>
    <x:row r="51">
      <x:c r="A51" s="2" t="str">
        <x:f t="shared" si="4"/>
      </x:c>
      <x:c r="B51" s="2" t="e">
        <x:f>IFERROR(__xludf.DUMMYFUNCTION("IF(A51="""","""",SUMPRODUCT(--(LEFT(TO_TEXT(Eventos!B$2:B$1000),10)=A51),--(Eventos!N$2:N$1000&lt;&gt;0),Eventos!I$2:I$1000))"),"")</x:f>
        <x:v>#NAME?</x:v>
      </x:c>
      <x:c r="C51" s="2" t="e">
        <x:f>IFERROR(__xludf.DUMMYFUNCTION("IF(A51="""","""",SUMPRODUCT(--(LEFT(TO_TEXT(Eventos!B$2:B$1000),10)=A51),--(Eventos!N$2:N$1000&lt;&gt;0),Eventos!M$2:M$1000))"),"")</x:f>
        <x:v>#NAME?</x:v>
      </x:c>
      <x:c r="D51" s="2" t="e">
        <x:f>IFERROR(__xludf.DUMMYFUNCTION("IF(A51="""","""",SUMPRODUCT(--(LEFT(TO_TEXT(Eventos!B$2:B$1000),10)=A51),Eventos!N$2:N$1000))"),"")</x:f>
        <x:v>#NAME?</x:v>
      </x:c>
      <x:c r="E51" s="2" t="str">
        <x:f t="shared" si="2"/>
      </x:c>
      <x:c r="F51" s="2" t="str">
        <x:f t="shared" si="5"/>
      </x:c>
    </x:row>
    <x:row r="52">
      <x:c r="A52" s="2" t="str">
        <x:f t="shared" si="4"/>
      </x:c>
      <x:c r="B52" s="2" t="e">
        <x:f>IFERROR(__xludf.DUMMYFUNCTION("IF(A52="""","""",SUMPRODUCT(--(LEFT(TO_TEXT(Eventos!B$2:B$1000),10)=A52),--(Eventos!N$2:N$1000&lt;&gt;0),Eventos!I$2:I$1000))"),"")</x:f>
        <x:v>#NAME?</x:v>
      </x:c>
      <x:c r="C52" s="2" t="e">
        <x:f>IFERROR(__xludf.DUMMYFUNCTION("IF(A52="""","""",SUMPRODUCT(--(LEFT(TO_TEXT(Eventos!B$2:B$1000),10)=A52),--(Eventos!N$2:N$1000&lt;&gt;0),Eventos!M$2:M$1000))"),"")</x:f>
        <x:v>#NAME?</x:v>
      </x:c>
      <x:c r="D52" s="2" t="e">
        <x:f>IFERROR(__xludf.DUMMYFUNCTION("IF(A52="""","""",SUMPRODUCT(--(LEFT(TO_TEXT(Eventos!B$2:B$1000),10)=A52),Eventos!N$2:N$1000))"),"")</x:f>
        <x:v>#NAME?</x:v>
      </x:c>
      <x:c r="E52" s="2" t="str">
        <x:f t="shared" si="2"/>
      </x:c>
      <x:c r="F52" s="2" t="str">
        <x:f t="shared" si="5"/>
      </x:c>
    </x:row>
    <x:row r="53">
      <x:c r="A53" s="2" t="str">
        <x:f t="shared" si="4"/>
      </x:c>
      <x:c r="B53" s="2" t="e">
        <x:f>IFERROR(__xludf.DUMMYFUNCTION("IF(A53="""","""",SUMPRODUCT(--(LEFT(TO_TEXT(Eventos!B$2:B$1000),10)=A53),--(Eventos!N$2:N$1000&lt;&gt;0),Eventos!I$2:I$1000))"),"")</x:f>
        <x:v>#NAME?</x:v>
      </x:c>
      <x:c r="C53" s="2" t="e">
        <x:f>IFERROR(__xludf.DUMMYFUNCTION("IF(A53="""","""",SUMPRODUCT(--(LEFT(TO_TEXT(Eventos!B$2:B$1000),10)=A53),--(Eventos!N$2:N$1000&lt;&gt;0),Eventos!M$2:M$1000))"),"")</x:f>
        <x:v>#NAME?</x:v>
      </x:c>
      <x:c r="D53" s="2" t="e">
        <x:f>IFERROR(__xludf.DUMMYFUNCTION("IF(A53="""","""",SUMPRODUCT(--(LEFT(TO_TEXT(Eventos!B$2:B$1000),10)=A53),Eventos!N$2:N$1000))"),"")</x:f>
        <x:v>#NAME?</x:v>
      </x:c>
      <x:c r="E53" s="2" t="str">
        <x:f t="shared" si="2"/>
      </x:c>
      <x:c r="F53" s="2" t="str">
        <x:f t="shared" si="5"/>
      </x:c>
    </x:row>
    <x:row r="54">
      <x:c r="A54" s="2" t="str">
        <x:f t="shared" si="4"/>
      </x:c>
      <x:c r="B54" s="2" t="e">
        <x:f>IFERROR(__xludf.DUMMYFUNCTION("IF(A54="""","""",SUMPRODUCT(--(LEFT(TO_TEXT(Eventos!B$2:B$1000),10)=A54),--(Eventos!N$2:N$1000&lt;&gt;0),Eventos!I$2:I$1000))"),"")</x:f>
        <x:v>#NAME?</x:v>
      </x:c>
      <x:c r="C54" s="2" t="e">
        <x:f>IFERROR(__xludf.DUMMYFUNCTION("IF(A54="""","""",SUMPRODUCT(--(LEFT(TO_TEXT(Eventos!B$2:B$1000),10)=A54),--(Eventos!N$2:N$1000&lt;&gt;0),Eventos!M$2:M$1000))"),"")</x:f>
        <x:v>#NAME?</x:v>
      </x:c>
      <x:c r="D54" s="2" t="e">
        <x:f>IFERROR(__xludf.DUMMYFUNCTION("IF(A54="""","""",SUMPRODUCT(--(LEFT(TO_TEXT(Eventos!B$2:B$1000),10)=A54),Eventos!N$2:N$1000))"),"")</x:f>
        <x:v>#NAME?</x:v>
      </x:c>
      <x:c r="E54" s="2" t="str">
        <x:f t="shared" si="2"/>
      </x:c>
      <x:c r="F54" s="2" t="str">
        <x:f t="shared" si="5"/>
      </x:c>
    </x:row>
    <x:row r="55">
      <x:c r="A55" s="2" t="str">
        <x:f t="shared" si="4"/>
      </x:c>
      <x:c r="B55" s="2" t="e">
        <x:f>IFERROR(__xludf.DUMMYFUNCTION("IF(A55="""","""",SUMPRODUCT(--(LEFT(TO_TEXT(Eventos!B$2:B$1000),10)=A55),--(Eventos!N$2:N$1000&lt;&gt;0),Eventos!I$2:I$1000))"),"")</x:f>
        <x:v>#NAME?</x:v>
      </x:c>
      <x:c r="C55" s="2" t="e">
        <x:f>IFERROR(__xludf.DUMMYFUNCTION("IF(A55="""","""",SUMPRODUCT(--(LEFT(TO_TEXT(Eventos!B$2:B$1000),10)=A55),--(Eventos!N$2:N$1000&lt;&gt;0),Eventos!M$2:M$1000))"),"")</x:f>
        <x:v>#NAME?</x:v>
      </x:c>
      <x:c r="D55" s="2" t="e">
        <x:f>IFERROR(__xludf.DUMMYFUNCTION("IF(A55="""","""",SUMPRODUCT(--(LEFT(TO_TEXT(Eventos!B$2:B$1000),10)=A55),Eventos!N$2:N$1000))"),"")</x:f>
        <x:v>#NAME?</x:v>
      </x:c>
      <x:c r="E55" s="2" t="str">
        <x:f t="shared" si="2"/>
      </x:c>
      <x:c r="F55" s="2" t="str">
        <x:f t="shared" si="5"/>
      </x:c>
    </x:row>
    <x:row r="56">
      <x:c r="A56" s="2" t="str">
        <x:f t="shared" si="4"/>
      </x:c>
      <x:c r="B56" s="2" t="e">
        <x:f>IFERROR(__xludf.DUMMYFUNCTION("IF(A56="""","""",SUMPRODUCT(--(LEFT(TO_TEXT(Eventos!B$2:B$1000),10)=A56),--(Eventos!N$2:N$1000&lt;&gt;0),Eventos!I$2:I$1000))"),"")</x:f>
        <x:v>#NAME?</x:v>
      </x:c>
      <x:c r="C56" s="2" t="e">
        <x:f>IFERROR(__xludf.DUMMYFUNCTION("IF(A56="""","""",SUMPRODUCT(--(LEFT(TO_TEXT(Eventos!B$2:B$1000),10)=A56),--(Eventos!N$2:N$1000&lt;&gt;0),Eventos!M$2:M$1000))"),"")</x:f>
        <x:v>#NAME?</x:v>
      </x:c>
      <x:c r="D56" s="2" t="e">
        <x:f>IFERROR(__xludf.DUMMYFUNCTION("IF(A56="""","""",SUMPRODUCT(--(LEFT(TO_TEXT(Eventos!B$2:B$1000),10)=A56),Eventos!N$2:N$1000))"),"")</x:f>
        <x:v>#NAME?</x:v>
      </x:c>
      <x:c r="E56" s="2" t="str">
        <x:f t="shared" si="2"/>
      </x:c>
      <x:c r="F56" s="2" t="str">
        <x:f t="shared" si="5"/>
      </x:c>
    </x:row>
    <x:row r="57">
      <x:c r="A57" s="2" t="str">
        <x:f t="shared" si="4"/>
      </x:c>
      <x:c r="B57" s="2" t="e">
        <x:f>IFERROR(__xludf.DUMMYFUNCTION("IF(A57="""","""",SUMPRODUCT(--(LEFT(TO_TEXT(Eventos!B$2:B$1000),10)=A57),--(Eventos!N$2:N$1000&lt;&gt;0),Eventos!I$2:I$1000))"),"")</x:f>
        <x:v>#NAME?</x:v>
      </x:c>
      <x:c r="C57" s="2" t="e">
        <x:f>IFERROR(__xludf.DUMMYFUNCTION("IF(A57="""","""",SUMPRODUCT(--(LEFT(TO_TEXT(Eventos!B$2:B$1000),10)=A57),--(Eventos!N$2:N$1000&lt;&gt;0),Eventos!M$2:M$1000))"),"")</x:f>
        <x:v>#NAME?</x:v>
      </x:c>
      <x:c r="D57" s="2" t="e">
        <x:f>IFERROR(__xludf.DUMMYFUNCTION("IF(A57="""","""",SUMPRODUCT(--(LEFT(TO_TEXT(Eventos!B$2:B$1000),10)=A57),Eventos!N$2:N$1000))"),"")</x:f>
        <x:v>#NAME?</x:v>
      </x:c>
      <x:c r="E57" s="2" t="str">
        <x:f t="shared" si="2"/>
      </x:c>
      <x:c r="F57" s="2" t="str">
        <x:f t="shared" si="5"/>
      </x:c>
    </x:row>
    <x:row r="58">
      <x:c r="A58" s="2" t="str">
        <x:f t="shared" si="4"/>
      </x:c>
      <x:c r="B58" s="2" t="e">
        <x:f>IFERROR(__xludf.DUMMYFUNCTION("IF(A58="""","""",SUMPRODUCT(--(LEFT(TO_TEXT(Eventos!B$2:B$1000),10)=A58),--(Eventos!N$2:N$1000&lt;&gt;0),Eventos!I$2:I$1000))"),"")</x:f>
        <x:v>#NAME?</x:v>
      </x:c>
      <x:c r="C58" s="2" t="e">
        <x:f>IFERROR(__xludf.DUMMYFUNCTION("IF(A58="""","""",SUMPRODUCT(--(LEFT(TO_TEXT(Eventos!B$2:B$1000),10)=A58),--(Eventos!N$2:N$1000&lt;&gt;0),Eventos!M$2:M$1000))"),"")</x:f>
        <x:v>#NAME?</x:v>
      </x:c>
      <x:c r="D58" s="2" t="e">
        <x:f>IFERROR(__xludf.DUMMYFUNCTION("IF(A58="""","""",SUMPRODUCT(--(LEFT(TO_TEXT(Eventos!B$2:B$1000),10)=A58),Eventos!N$2:N$1000))"),"")</x:f>
        <x:v>#NAME?</x:v>
      </x:c>
      <x:c r="E58" s="2" t="str">
        <x:f t="shared" si="2"/>
      </x:c>
      <x:c r="F58" s="2" t="str">
        <x:f t="shared" si="5"/>
      </x:c>
    </x:row>
    <x:row r="59">
      <x:c r="A59" s="2" t="str">
        <x:f t="shared" si="4"/>
      </x:c>
      <x:c r="B59" s="2" t="e">
        <x:f>IFERROR(__xludf.DUMMYFUNCTION("IF(A59="""","""",SUMPRODUCT(--(LEFT(TO_TEXT(Eventos!B$2:B$1000),10)=A59),--(Eventos!N$2:N$1000&lt;&gt;0),Eventos!I$2:I$1000))"),"")</x:f>
        <x:v>#NAME?</x:v>
      </x:c>
      <x:c r="C59" s="2" t="e">
        <x:f>IFERROR(__xludf.DUMMYFUNCTION("IF(A59="""","""",SUMPRODUCT(--(LEFT(TO_TEXT(Eventos!B$2:B$1000),10)=A59),--(Eventos!N$2:N$1000&lt;&gt;0),Eventos!M$2:M$1000))"),"")</x:f>
        <x:v>#NAME?</x:v>
      </x:c>
      <x:c r="D59" s="2" t="e">
        <x:f>IFERROR(__xludf.DUMMYFUNCTION("IF(A59="""","""",SUMPRODUCT(--(LEFT(TO_TEXT(Eventos!B$2:B$1000),10)=A59),Eventos!N$2:N$1000))"),"")</x:f>
        <x:v>#NAME?</x:v>
      </x:c>
      <x:c r="E59" s="2" t="str">
        <x:f t="shared" si="2"/>
      </x:c>
      <x:c r="F59" s="2" t="str">
        <x:f t="shared" si="5"/>
      </x:c>
    </x:row>
    <x:row r="60">
      <x:c r="A60" s="2" t="str">
        <x:f t="shared" si="4"/>
      </x:c>
      <x:c r="B60" s="2" t="e">
        <x:f>IFERROR(__xludf.DUMMYFUNCTION("IF(A60="""","""",SUMPRODUCT(--(LEFT(TO_TEXT(Eventos!B$2:B$1000),10)=A60),--(Eventos!N$2:N$1000&lt;&gt;0),Eventos!I$2:I$1000))"),"")</x:f>
        <x:v>#NAME?</x:v>
      </x:c>
      <x:c r="C60" s="2" t="e">
        <x:f>IFERROR(__xludf.DUMMYFUNCTION("IF(A60="""","""",SUMPRODUCT(--(LEFT(TO_TEXT(Eventos!B$2:B$1000),10)=A60),--(Eventos!N$2:N$1000&lt;&gt;0),Eventos!M$2:M$1000))"),"")</x:f>
        <x:v>#NAME?</x:v>
      </x:c>
      <x:c r="D60" s="2" t="e">
        <x:f>IFERROR(__xludf.DUMMYFUNCTION("IF(A60="""","""",SUMPRODUCT(--(LEFT(TO_TEXT(Eventos!B$2:B$1000),10)=A60),Eventos!N$2:N$1000))"),"")</x:f>
        <x:v>#NAME?</x:v>
      </x:c>
      <x:c r="E60" s="2" t="str">
        <x:f t="shared" si="2"/>
      </x:c>
      <x:c r="F60" s="2" t="str">
        <x:f t="shared" si="5"/>
      </x:c>
    </x:row>
    <x:row r="61">
      <x:c r="A61" s="2" t="str">
        <x:f t="shared" si="4"/>
      </x:c>
      <x:c r="B61" s="2" t="e">
        <x:f>IFERROR(__xludf.DUMMYFUNCTION("IF(A61="""","""",SUMPRODUCT(--(LEFT(TO_TEXT(Eventos!B$2:B$1000),10)=A61),--(Eventos!N$2:N$1000&lt;&gt;0),Eventos!I$2:I$1000))"),"")</x:f>
        <x:v>#NAME?</x:v>
      </x:c>
      <x:c r="C61" s="2" t="e">
        <x:f>IFERROR(__xludf.DUMMYFUNCTION("IF(A61="""","""",SUMPRODUCT(--(LEFT(TO_TEXT(Eventos!B$2:B$1000),10)=A61),--(Eventos!N$2:N$1000&lt;&gt;0),Eventos!M$2:M$1000))"),"")</x:f>
        <x:v>#NAME?</x:v>
      </x:c>
      <x:c r="D61" s="2" t="e">
        <x:f>IFERROR(__xludf.DUMMYFUNCTION("IF(A61="""","""",SUMPRODUCT(--(LEFT(TO_TEXT(Eventos!B$2:B$1000),10)=A61),Eventos!N$2:N$1000))"),"")</x:f>
        <x:v>#NAME?</x:v>
      </x:c>
      <x:c r="E61" s="2" t="str">
        <x:f t="shared" si="2"/>
      </x:c>
      <x:c r="F61" s="2" t="str">
        <x:f t="shared" si="5"/>
      </x:c>
    </x:row>
    <x:row r="62">
      <x:c r="A62" s="2" t="str">
        <x:f t="shared" si="4"/>
      </x:c>
      <x:c r="B62" s="2" t="e">
        <x:f>IFERROR(__xludf.DUMMYFUNCTION("IF(A62="""","""",SUMPRODUCT(--(LEFT(TO_TEXT(Eventos!B$2:B$1000),10)=A62),--(Eventos!N$2:N$1000&lt;&gt;0),Eventos!I$2:I$1000))"),"")</x:f>
        <x:v>#NAME?</x:v>
      </x:c>
      <x:c r="C62" s="2" t="e">
        <x:f>IFERROR(__xludf.DUMMYFUNCTION("IF(A62="""","""",SUMPRODUCT(--(LEFT(TO_TEXT(Eventos!B$2:B$1000),10)=A62),--(Eventos!N$2:N$1000&lt;&gt;0),Eventos!M$2:M$1000))"),"")</x:f>
        <x:v>#NAME?</x:v>
      </x:c>
      <x:c r="D62" s="2" t="e">
        <x:f>IFERROR(__xludf.DUMMYFUNCTION("IF(A62="""","""",SUMPRODUCT(--(LEFT(TO_TEXT(Eventos!B$2:B$1000),10)=A62),Eventos!N$2:N$1000))"),"")</x:f>
        <x:v>#NAME?</x:v>
      </x:c>
      <x:c r="E62" s="2" t="str">
        <x:f t="shared" si="2"/>
      </x:c>
      <x:c r="F62" s="2" t="str">
        <x:f t="shared" si="5"/>
      </x:c>
    </x:row>
    <x:row r="63">
      <x:c r="A63" s="2" t="str">
        <x:f t="shared" si="4"/>
      </x:c>
      <x:c r="B63" s="2" t="e">
        <x:f>IFERROR(__xludf.DUMMYFUNCTION("IF(A63="""","""",SUMPRODUCT(--(LEFT(TO_TEXT(Eventos!B$2:B$1000),10)=A63),--(Eventos!N$2:N$1000&lt;&gt;0),Eventos!I$2:I$1000))"),"")</x:f>
        <x:v>#NAME?</x:v>
      </x:c>
      <x:c r="C63" s="2" t="e">
        <x:f>IFERROR(__xludf.DUMMYFUNCTION("IF(A63="""","""",SUMPRODUCT(--(LEFT(TO_TEXT(Eventos!B$2:B$1000),10)=A63),--(Eventos!N$2:N$1000&lt;&gt;0),Eventos!M$2:M$1000))"),"")</x:f>
        <x:v>#NAME?</x:v>
      </x:c>
      <x:c r="D63" s="2" t="e">
        <x:f>IFERROR(__xludf.DUMMYFUNCTION("IF(A63="""","""",SUMPRODUCT(--(LEFT(TO_TEXT(Eventos!B$2:B$1000),10)=A63),Eventos!N$2:N$1000))"),"")</x:f>
        <x:v>#NAME?</x:v>
      </x:c>
      <x:c r="E63" s="2" t="str">
        <x:f t="shared" si="2"/>
      </x:c>
      <x:c r="F63" s="2" t="str">
        <x:f t="shared" si="5"/>
      </x:c>
    </x:row>
    <x:row r="64">
      <x:c r="A64" s="2" t="str">
        <x:f t="shared" si="4"/>
      </x:c>
      <x:c r="B64" s="2" t="e">
        <x:f>IFERROR(__xludf.DUMMYFUNCTION("IF(A64="""","""",SUMPRODUCT(--(LEFT(TO_TEXT(Eventos!B$2:B$1000),10)=A64),--(Eventos!N$2:N$1000&lt;&gt;0),Eventos!I$2:I$1000))"),"")</x:f>
        <x:v>#NAME?</x:v>
      </x:c>
      <x:c r="C64" s="2" t="e">
        <x:f>IFERROR(__xludf.DUMMYFUNCTION("IF(A64="""","""",SUMPRODUCT(--(LEFT(TO_TEXT(Eventos!B$2:B$1000),10)=A64),--(Eventos!N$2:N$1000&lt;&gt;0),Eventos!M$2:M$1000))"),"")</x:f>
        <x:v>#NAME?</x:v>
      </x:c>
      <x:c r="D64" s="2" t="e">
        <x:f>IFERROR(__xludf.DUMMYFUNCTION("IF(A64="""","""",SUMPRODUCT(--(LEFT(TO_TEXT(Eventos!B$2:B$1000),10)=A64),Eventos!N$2:N$1000))"),"")</x:f>
        <x:v>#NAME?</x:v>
      </x:c>
      <x:c r="E64" s="2" t="str">
        <x:f t="shared" si="2"/>
      </x:c>
      <x:c r="F64" s="2" t="str">
        <x:f t="shared" si="5"/>
      </x:c>
    </x:row>
    <x:row r="65">
      <x:c r="A65" s="2" t="str">
        <x:f t="shared" si="4"/>
      </x:c>
      <x:c r="B65" s="2" t="e">
        <x:f>IFERROR(__xludf.DUMMYFUNCTION("IF(A65="""","""",SUMPRODUCT(--(LEFT(TO_TEXT(Eventos!B$2:B$1000),10)=A65),--(Eventos!N$2:N$1000&lt;&gt;0),Eventos!I$2:I$1000))"),"")</x:f>
        <x:v>#NAME?</x:v>
      </x:c>
      <x:c r="C65" s="2" t="e">
        <x:f>IFERROR(__xludf.DUMMYFUNCTION("IF(A65="""","""",SUMPRODUCT(--(LEFT(TO_TEXT(Eventos!B$2:B$1000),10)=A65),--(Eventos!N$2:N$1000&lt;&gt;0),Eventos!M$2:M$1000))"),"")</x:f>
        <x:v>#NAME?</x:v>
      </x:c>
      <x:c r="D65" s="2" t="e">
        <x:f>IFERROR(__xludf.DUMMYFUNCTION("IF(A65="""","""",SUMPRODUCT(--(LEFT(TO_TEXT(Eventos!B$2:B$1000),10)=A65),Eventos!N$2:N$1000))"),"")</x:f>
        <x:v>#NAME?</x:v>
      </x:c>
      <x:c r="E65" s="2" t="str">
        <x:f t="shared" si="2"/>
      </x:c>
      <x:c r="F65" s="2" t="str">
        <x:f t="shared" si="5"/>
      </x:c>
    </x:row>
    <x:row r="66">
      <x:c r="A66" s="2" t="str">
        <x:f t="shared" si="4"/>
      </x:c>
      <x:c r="B66" s="2" t="e">
        <x:f>IFERROR(__xludf.DUMMYFUNCTION("IF(A66="""","""",SUMPRODUCT(--(LEFT(TO_TEXT(Eventos!B$2:B$1000),10)=A66),--(Eventos!N$2:N$1000&lt;&gt;0),Eventos!I$2:I$1000))"),"")</x:f>
        <x:v>#NAME?</x:v>
      </x:c>
      <x:c r="C66" s="2" t="e">
        <x:f>IFERROR(__xludf.DUMMYFUNCTION("IF(A66="""","""",SUMPRODUCT(--(LEFT(TO_TEXT(Eventos!B$2:B$1000),10)=A66),--(Eventos!N$2:N$1000&lt;&gt;0),Eventos!M$2:M$1000))"),"")</x:f>
        <x:v>#NAME?</x:v>
      </x:c>
      <x:c r="D66" s="2" t="e">
        <x:f>IFERROR(__xludf.DUMMYFUNCTION("IF(A66="""","""",SUMPRODUCT(--(LEFT(TO_TEXT(Eventos!B$2:B$1000),10)=A66),Eventos!N$2:N$1000))"),"")</x:f>
        <x:v>#NAME?</x:v>
      </x:c>
      <x:c r="E66" s="2" t="str">
        <x:f t="shared" si="2"/>
      </x:c>
      <x:c r="F66" s="2" t="str">
        <x:f t="shared" si="5"/>
      </x:c>
    </x:row>
    <x:row r="67">
      <x:c r="A67" s="2" t="str">
        <x:f t="shared" si="4"/>
      </x:c>
      <x:c r="B67" s="2" t="e">
        <x:f>IFERROR(__xludf.DUMMYFUNCTION("IF(A67="""","""",SUMPRODUCT(--(LEFT(TO_TEXT(Eventos!B$2:B$1000),10)=A67),--(Eventos!N$2:N$1000&lt;&gt;0),Eventos!I$2:I$1000))"),"")</x:f>
        <x:v>#NAME?</x:v>
      </x:c>
      <x:c r="C67" s="2" t="e">
        <x:f>IFERROR(__xludf.DUMMYFUNCTION("IF(A67="""","""",SUMPRODUCT(--(LEFT(TO_TEXT(Eventos!B$2:B$1000),10)=A67),--(Eventos!N$2:N$1000&lt;&gt;0),Eventos!M$2:M$1000))"),"")</x:f>
        <x:v>#NAME?</x:v>
      </x:c>
      <x:c r="D67" s="2" t="e">
        <x:f>IFERROR(__xludf.DUMMYFUNCTION("IF(A67="""","""",SUMPRODUCT(--(LEFT(TO_TEXT(Eventos!B$2:B$1000),10)=A67),Eventos!N$2:N$1000))"),"")</x:f>
        <x:v>#NAME?</x:v>
      </x:c>
      <x:c r="E67" s="2" t="str">
        <x:f t="shared" si="2"/>
      </x:c>
      <x:c r="F67" s="2" t="str">
        <x:f t="shared" si="5"/>
      </x:c>
    </x:row>
    <x:row r="68">
      <x:c r="A68" s="2" t="str">
        <x:f t="shared" si="4"/>
      </x:c>
      <x:c r="B68" s="2" t="e">
        <x:f>IFERROR(__xludf.DUMMYFUNCTION("IF(A68="""","""",SUMPRODUCT(--(LEFT(TO_TEXT(Eventos!B$2:B$1000),10)=A68),--(Eventos!N$2:N$1000&lt;&gt;0),Eventos!I$2:I$1000))"),"")</x:f>
        <x:v>#NAME?</x:v>
      </x:c>
      <x:c r="C68" s="2" t="e">
        <x:f>IFERROR(__xludf.DUMMYFUNCTION("IF(A68="""","""",SUMPRODUCT(--(LEFT(TO_TEXT(Eventos!B$2:B$1000),10)=A68),--(Eventos!N$2:N$1000&lt;&gt;0),Eventos!M$2:M$1000))"),"")</x:f>
        <x:v>#NAME?</x:v>
      </x:c>
      <x:c r="D68" s="2" t="e">
        <x:f>IFERROR(__xludf.DUMMYFUNCTION("IF(A68="""","""",SUMPRODUCT(--(LEFT(TO_TEXT(Eventos!B$2:B$1000),10)=A68),Eventos!N$2:N$1000))"),"")</x:f>
        <x:v>#NAME?</x:v>
      </x:c>
      <x:c r="E68" s="2" t="str">
        <x:f t="shared" si="2"/>
      </x:c>
      <x:c r="F68" s="2" t="str">
        <x:f t="shared" si="5"/>
      </x:c>
    </x:row>
    <x:row r="69">
      <x:c r="A69" s="2" t="str">
        <x:f t="shared" si="4"/>
      </x:c>
      <x:c r="B69" s="2" t="e">
        <x:f>IFERROR(__xludf.DUMMYFUNCTION("IF(A69="""","""",SUMPRODUCT(--(LEFT(TO_TEXT(Eventos!B$2:B$1000),10)=A69),--(Eventos!N$2:N$1000&lt;&gt;0),Eventos!I$2:I$1000))"),"")</x:f>
        <x:v>#NAME?</x:v>
      </x:c>
      <x:c r="C69" s="2" t="e">
        <x:f>IFERROR(__xludf.DUMMYFUNCTION("IF(A69="""","""",SUMPRODUCT(--(LEFT(TO_TEXT(Eventos!B$2:B$1000),10)=A69),--(Eventos!N$2:N$1000&lt;&gt;0),Eventos!M$2:M$1000))"),"")</x:f>
        <x:v>#NAME?</x:v>
      </x:c>
      <x:c r="D69" s="2" t="e">
        <x:f>IFERROR(__xludf.DUMMYFUNCTION("IF(A69="""","""",SUMPRODUCT(--(LEFT(TO_TEXT(Eventos!B$2:B$1000),10)=A69),Eventos!N$2:N$1000))"),"")</x:f>
        <x:v>#NAME?</x:v>
      </x:c>
      <x:c r="E69" s="2" t="str">
        <x:f t="shared" si="2"/>
      </x:c>
      <x:c r="F69" s="2" t="str">
        <x:f t="shared" si="5"/>
      </x:c>
    </x:row>
    <x:row r="70">
      <x:c r="A70" s="2" t="str">
        <x:f t="shared" si="4"/>
      </x:c>
      <x:c r="B70" s="2" t="e">
        <x:f>IFERROR(__xludf.DUMMYFUNCTION("IF(A70="""","""",SUMPRODUCT(--(LEFT(TO_TEXT(Eventos!B$2:B$1000),10)=A70),--(Eventos!N$2:N$1000&lt;&gt;0),Eventos!I$2:I$1000))"),"")</x:f>
        <x:v>#NAME?</x:v>
      </x:c>
      <x:c r="C70" s="2" t="e">
        <x:f>IFERROR(__xludf.DUMMYFUNCTION("IF(A70="""","""",SUMPRODUCT(--(LEFT(TO_TEXT(Eventos!B$2:B$1000),10)=A70),--(Eventos!N$2:N$1000&lt;&gt;0),Eventos!M$2:M$1000))"),"")</x:f>
        <x:v>#NAME?</x:v>
      </x:c>
      <x:c r="D70" s="2" t="e">
        <x:f>IFERROR(__xludf.DUMMYFUNCTION("IF(A70="""","""",SUMPRODUCT(--(LEFT(TO_TEXT(Eventos!B$2:B$1000),10)=A70),Eventos!N$2:N$1000))"),"")</x:f>
        <x:v>#NAME?</x:v>
      </x:c>
      <x:c r="E70" s="2" t="str">
        <x:f t="shared" si="2"/>
      </x:c>
      <x:c r="F70" s="2" t="str">
        <x:f t="shared" si="5"/>
      </x:c>
    </x:row>
    <x:row r="71">
      <x:c r="A71" s="2" t="str">
        <x:f t="shared" si="4"/>
      </x:c>
      <x:c r="B71" s="2" t="e">
        <x:f>IFERROR(__xludf.DUMMYFUNCTION("IF(A71="""","""",SUMPRODUCT(--(LEFT(TO_TEXT(Eventos!B$2:B$1000),10)=A71),--(Eventos!N$2:N$1000&lt;&gt;0),Eventos!I$2:I$1000))"),"")</x:f>
        <x:v>#NAME?</x:v>
      </x:c>
      <x:c r="C71" s="2" t="e">
        <x:f>IFERROR(__xludf.DUMMYFUNCTION("IF(A71="""","""",SUMPRODUCT(--(LEFT(TO_TEXT(Eventos!B$2:B$1000),10)=A71),--(Eventos!N$2:N$1000&lt;&gt;0),Eventos!M$2:M$1000))"),"")</x:f>
        <x:v>#NAME?</x:v>
      </x:c>
      <x:c r="D71" s="2" t="e">
        <x:f>IFERROR(__xludf.DUMMYFUNCTION("IF(A71="""","""",SUMPRODUCT(--(LEFT(TO_TEXT(Eventos!B$2:B$1000),10)=A71),Eventos!N$2:N$1000))"),"")</x:f>
        <x:v>#NAME?</x:v>
      </x:c>
      <x:c r="E71" s="2" t="str">
        <x:f t="shared" si="2"/>
      </x:c>
      <x:c r="F71" s="2" t="str">
        <x:f t="shared" si="5"/>
      </x:c>
    </x:row>
    <x:row r="72">
      <x:c r="A72" s="2" t="str">
        <x:f t="shared" si="4"/>
      </x:c>
      <x:c r="B72" s="2" t="e">
        <x:f>IFERROR(__xludf.DUMMYFUNCTION("IF(A72="""","""",SUMPRODUCT(--(LEFT(TO_TEXT(Eventos!B$2:B$1000),10)=A72),--(Eventos!N$2:N$1000&lt;&gt;0),Eventos!I$2:I$1000))"),"")</x:f>
        <x:v>#NAME?</x:v>
      </x:c>
      <x:c r="C72" s="2" t="e">
        <x:f>IFERROR(__xludf.DUMMYFUNCTION("IF(A72="""","""",SUMPRODUCT(--(LEFT(TO_TEXT(Eventos!B$2:B$1000),10)=A72),--(Eventos!N$2:N$1000&lt;&gt;0),Eventos!M$2:M$1000))"),"")</x:f>
        <x:v>#NAME?</x:v>
      </x:c>
      <x:c r="D72" s="2" t="e">
        <x:f>IFERROR(__xludf.DUMMYFUNCTION("IF(A72="""","""",SUMPRODUCT(--(LEFT(TO_TEXT(Eventos!B$2:B$1000),10)=A72),Eventos!N$2:N$1000))"),"")</x:f>
        <x:v>#NAME?</x:v>
      </x:c>
      <x:c r="E72" s="2" t="str">
        <x:f t="shared" si="2"/>
      </x:c>
      <x:c r="F72" s="2" t="str">
        <x:f t="shared" si="5"/>
      </x:c>
    </x:row>
    <x:row r="73">
      <x:c r="A73" s="2" t="str">
        <x:f t="shared" si="4"/>
      </x:c>
      <x:c r="B73" s="2" t="e">
        <x:f>IFERROR(__xludf.DUMMYFUNCTION("IF(A73="""","""",SUMPRODUCT(--(LEFT(TO_TEXT(Eventos!B$2:B$1000),10)=A73),--(Eventos!N$2:N$1000&lt;&gt;0),Eventos!I$2:I$1000))"),"")</x:f>
        <x:v>#NAME?</x:v>
      </x:c>
      <x:c r="C73" s="2" t="e">
        <x:f>IFERROR(__xludf.DUMMYFUNCTION("IF(A73="""","""",SUMPRODUCT(--(LEFT(TO_TEXT(Eventos!B$2:B$1000),10)=A73),--(Eventos!N$2:N$1000&lt;&gt;0),Eventos!M$2:M$1000))"),"")</x:f>
        <x:v>#NAME?</x:v>
      </x:c>
      <x:c r="D73" s="2" t="e">
        <x:f>IFERROR(__xludf.DUMMYFUNCTION("IF(A73="""","""",SUMPRODUCT(--(LEFT(TO_TEXT(Eventos!B$2:B$1000),10)=A73),Eventos!N$2:N$1000))"),"")</x:f>
        <x:v>#NAME?</x:v>
      </x:c>
      <x:c r="E73" s="2" t="str">
        <x:f t="shared" si="2"/>
      </x:c>
      <x:c r="F73" s="2" t="str">
        <x:f t="shared" si="5"/>
      </x:c>
    </x:row>
    <x:row r="74">
      <x:c r="A74" s="2" t="str">
        <x:f t="shared" si="4"/>
      </x:c>
      <x:c r="B74" s="2" t="e">
        <x:f>IFERROR(__xludf.DUMMYFUNCTION("IF(A74="""","""",SUMPRODUCT(--(LEFT(TO_TEXT(Eventos!B$2:B$1000),10)=A74),--(Eventos!N$2:N$1000&lt;&gt;0),Eventos!I$2:I$1000))"),"")</x:f>
        <x:v>#NAME?</x:v>
      </x:c>
      <x:c r="C74" s="2" t="e">
        <x:f>IFERROR(__xludf.DUMMYFUNCTION("IF(A74="""","""",SUMPRODUCT(--(LEFT(TO_TEXT(Eventos!B$2:B$1000),10)=A74),--(Eventos!N$2:N$1000&lt;&gt;0),Eventos!M$2:M$1000))"),"")</x:f>
        <x:v>#NAME?</x:v>
      </x:c>
      <x:c r="D74" s="2" t="e">
        <x:f>IFERROR(__xludf.DUMMYFUNCTION("IF(A74="""","""",SUMPRODUCT(--(LEFT(TO_TEXT(Eventos!B$2:B$1000),10)=A74),Eventos!N$2:N$1000))"),"")</x:f>
        <x:v>#NAME?</x:v>
      </x:c>
      <x:c r="E74" s="2" t="str">
        <x:f t="shared" si="2"/>
      </x:c>
      <x:c r="F74" s="2" t="str">
        <x:f t="shared" si="5"/>
      </x:c>
    </x:row>
    <x:row r="75">
      <x:c r="A75" s="2" t="str">
        <x:f t="shared" si="4"/>
      </x:c>
      <x:c r="B75" s="2" t="e">
        <x:f>IFERROR(__xludf.DUMMYFUNCTION("IF(A75="""","""",SUMPRODUCT(--(LEFT(TO_TEXT(Eventos!B$2:B$1000),10)=A75),--(Eventos!N$2:N$1000&lt;&gt;0),Eventos!I$2:I$1000))"),"")</x:f>
        <x:v>#NAME?</x:v>
      </x:c>
      <x:c r="C75" s="2" t="e">
        <x:f>IFERROR(__xludf.DUMMYFUNCTION("IF(A75="""","""",SUMPRODUCT(--(LEFT(TO_TEXT(Eventos!B$2:B$1000),10)=A75),--(Eventos!N$2:N$1000&lt;&gt;0),Eventos!M$2:M$1000))"),"")</x:f>
        <x:v>#NAME?</x:v>
      </x:c>
      <x:c r="D75" s="2" t="e">
        <x:f>IFERROR(__xludf.DUMMYFUNCTION("IF(A75="""","""",SUMPRODUCT(--(LEFT(TO_TEXT(Eventos!B$2:B$1000),10)=A75),Eventos!N$2:N$1000))"),"")</x:f>
        <x:v>#NAME?</x:v>
      </x:c>
      <x:c r="E75" s="2" t="str">
        <x:f t="shared" si="2"/>
      </x:c>
      <x:c r="F75" s="2" t="str">
        <x:f t="shared" si="5"/>
      </x:c>
    </x:row>
    <x:row r="76">
      <x:c r="A76" s="2" t="str">
        <x:f t="shared" si="4"/>
      </x:c>
      <x:c r="B76" s="2" t="e">
        <x:f>IFERROR(__xludf.DUMMYFUNCTION("IF(A76="""","""",SUMPRODUCT(--(LEFT(TO_TEXT(Eventos!B$2:B$1000),10)=A76),--(Eventos!N$2:N$1000&lt;&gt;0),Eventos!I$2:I$1000))"),"")</x:f>
        <x:v>#NAME?</x:v>
      </x:c>
      <x:c r="C76" s="2" t="e">
        <x:f>IFERROR(__xludf.DUMMYFUNCTION("IF(A76="""","""",SUMPRODUCT(--(LEFT(TO_TEXT(Eventos!B$2:B$1000),10)=A76),--(Eventos!N$2:N$1000&lt;&gt;0),Eventos!M$2:M$1000))"),"")</x:f>
        <x:v>#NAME?</x:v>
      </x:c>
      <x:c r="D76" s="2" t="e">
        <x:f>IFERROR(__xludf.DUMMYFUNCTION("IF(A76="""","""",SUMPRODUCT(--(LEFT(TO_TEXT(Eventos!B$2:B$1000),10)=A76),Eventos!N$2:N$1000))"),"")</x:f>
        <x:v>#NAME?</x:v>
      </x:c>
      <x:c r="E76" s="2" t="str">
        <x:f t="shared" si="2"/>
      </x:c>
      <x:c r="F76" s="2" t="str">
        <x:f t="shared" si="5"/>
      </x:c>
    </x:row>
    <x:row r="77">
      <x:c r="A77" s="2" t="str">
        <x:f t="shared" si="4"/>
      </x:c>
      <x:c r="B77" s="2" t="e">
        <x:f>IFERROR(__xludf.DUMMYFUNCTION("IF(A77="""","""",SUMPRODUCT(--(LEFT(TO_TEXT(Eventos!B$2:B$1000),10)=A77),--(Eventos!N$2:N$1000&lt;&gt;0),Eventos!I$2:I$1000))"),"")</x:f>
        <x:v>#NAME?</x:v>
      </x:c>
      <x:c r="C77" s="2" t="e">
        <x:f>IFERROR(__xludf.DUMMYFUNCTION("IF(A77="""","""",SUMPRODUCT(--(LEFT(TO_TEXT(Eventos!B$2:B$1000),10)=A77),--(Eventos!N$2:N$1000&lt;&gt;0),Eventos!M$2:M$1000))"),"")</x:f>
        <x:v>#NAME?</x:v>
      </x:c>
      <x:c r="D77" s="2" t="e">
        <x:f>IFERROR(__xludf.DUMMYFUNCTION("IF(A77="""","""",SUMPRODUCT(--(LEFT(TO_TEXT(Eventos!B$2:B$1000),10)=A77),Eventos!N$2:N$1000))"),"")</x:f>
        <x:v>#NAME?</x:v>
      </x:c>
      <x:c r="E77" s="2" t="str">
        <x:f t="shared" si="2"/>
      </x:c>
      <x:c r="F77" s="2" t="str">
        <x:f t="shared" si="5"/>
      </x:c>
    </x:row>
    <x:row r="78">
      <x:c r="A78" s="2" t="str">
        <x:f t="shared" si="4"/>
      </x:c>
      <x:c r="B78" s="2" t="e">
        <x:f>IFERROR(__xludf.DUMMYFUNCTION("IF(A78="""","""",SUMPRODUCT(--(LEFT(TO_TEXT(Eventos!B$2:B$1000),10)=A78),--(Eventos!N$2:N$1000&lt;&gt;0),Eventos!I$2:I$1000))"),"")</x:f>
        <x:v>#NAME?</x:v>
      </x:c>
      <x:c r="C78" s="2" t="e">
        <x:f>IFERROR(__xludf.DUMMYFUNCTION("IF(A78="""","""",SUMPRODUCT(--(LEFT(TO_TEXT(Eventos!B$2:B$1000),10)=A78),--(Eventos!N$2:N$1000&lt;&gt;0),Eventos!M$2:M$1000))"),"")</x:f>
        <x:v>#NAME?</x:v>
      </x:c>
      <x:c r="D78" s="2" t="e">
        <x:f>IFERROR(__xludf.DUMMYFUNCTION("IF(A78="""","""",SUMPRODUCT(--(LEFT(TO_TEXT(Eventos!B$2:B$1000),10)=A78),Eventos!N$2:N$1000))"),"")</x:f>
        <x:v>#NAME?</x:v>
      </x:c>
      <x:c r="E78" s="2" t="str">
        <x:f t="shared" si="2"/>
      </x:c>
      <x:c r="F78" s="2" t="str">
        <x:f t="shared" si="5"/>
      </x:c>
    </x:row>
    <x:row r="79">
      <x:c r="A79" s="2" t="str">
        <x:f t="shared" si="4"/>
      </x:c>
      <x:c r="B79" s="2" t="e">
        <x:f>IFERROR(__xludf.DUMMYFUNCTION("IF(A79="""","""",SUMPRODUCT(--(LEFT(TO_TEXT(Eventos!B$2:B$1000),10)=A79),--(Eventos!N$2:N$1000&lt;&gt;0),Eventos!I$2:I$1000))"),"")</x:f>
        <x:v>#NAME?</x:v>
      </x:c>
      <x:c r="C79" s="2" t="e">
        <x:f>IFERROR(__xludf.DUMMYFUNCTION("IF(A79="""","""",SUMPRODUCT(--(LEFT(TO_TEXT(Eventos!B$2:B$1000),10)=A79),--(Eventos!N$2:N$1000&lt;&gt;0),Eventos!M$2:M$1000))"),"")</x:f>
        <x:v>#NAME?</x:v>
      </x:c>
      <x:c r="D79" s="2" t="e">
        <x:f>IFERROR(__xludf.DUMMYFUNCTION("IF(A79="""","""",SUMPRODUCT(--(LEFT(TO_TEXT(Eventos!B$2:B$1000),10)=A79),Eventos!N$2:N$1000))"),"")</x:f>
        <x:v>#NAME?</x:v>
      </x:c>
      <x:c r="E79" s="2" t="str">
        <x:f t="shared" si="2"/>
      </x:c>
      <x:c r="F79" s="2" t="str">
        <x:f t="shared" si="5"/>
      </x:c>
    </x:row>
    <x:row r="80">
      <x:c r="A80" s="2" t="str">
        <x:f t="shared" si="4"/>
      </x:c>
      <x:c r="B80" s="2" t="e">
        <x:f>IFERROR(__xludf.DUMMYFUNCTION("IF(A80="""","""",SUMPRODUCT(--(LEFT(TO_TEXT(Eventos!B$2:B$1000),10)=A80),--(Eventos!N$2:N$1000&lt;&gt;0),Eventos!I$2:I$1000))"),"")</x:f>
        <x:v>#NAME?</x:v>
      </x:c>
      <x:c r="C80" s="2" t="e">
        <x:f>IFERROR(__xludf.DUMMYFUNCTION("IF(A80="""","""",SUMPRODUCT(--(LEFT(TO_TEXT(Eventos!B$2:B$1000),10)=A80),--(Eventos!N$2:N$1000&lt;&gt;0),Eventos!M$2:M$1000))"),"")</x:f>
        <x:v>#NAME?</x:v>
      </x:c>
      <x:c r="D80" s="2" t="e">
        <x:f>IFERROR(__xludf.DUMMYFUNCTION("IF(A80="""","""",SUMPRODUCT(--(LEFT(TO_TEXT(Eventos!B$2:B$1000),10)=A80),Eventos!N$2:N$1000))"),"")</x:f>
        <x:v>#NAME?</x:v>
      </x:c>
      <x:c r="E80" s="2" t="str">
        <x:f t="shared" si="2"/>
      </x:c>
      <x:c r="F80" s="2" t="str">
        <x:f t="shared" si="5"/>
      </x:c>
    </x:row>
    <x:row r="81">
      <x:c r="A81" s="2" t="str">
        <x:f t="shared" si="4"/>
      </x:c>
      <x:c r="B81" s="2" t="e">
        <x:f>IFERROR(__xludf.DUMMYFUNCTION("IF(A81="""","""",SUMPRODUCT(--(LEFT(TO_TEXT(Eventos!B$2:B$1000),10)=A81),--(Eventos!N$2:N$1000&lt;&gt;0),Eventos!I$2:I$1000))"),"")</x:f>
        <x:v>#NAME?</x:v>
      </x:c>
      <x:c r="C81" s="2" t="e">
        <x:f>IFERROR(__xludf.DUMMYFUNCTION("IF(A81="""","""",SUMPRODUCT(--(LEFT(TO_TEXT(Eventos!B$2:B$1000),10)=A81),--(Eventos!N$2:N$1000&lt;&gt;0),Eventos!M$2:M$1000))"),"")</x:f>
        <x:v>#NAME?</x:v>
      </x:c>
      <x:c r="D81" s="2" t="e">
        <x:f>IFERROR(__xludf.DUMMYFUNCTION("IF(A81="""","""",SUMPRODUCT(--(LEFT(TO_TEXT(Eventos!B$2:B$1000),10)=A81),Eventos!N$2:N$1000))"),"")</x:f>
        <x:v>#NAME?</x:v>
      </x:c>
      <x:c r="E81" s="2" t="str">
        <x:f t="shared" si="2"/>
      </x:c>
      <x:c r="F81" s="2" t="str">
        <x:f t="shared" si="5"/>
      </x:c>
    </x:row>
    <x:row r="82">
      <x:c r="A82" s="2" t="str">
        <x:f t="shared" si="4"/>
      </x:c>
      <x:c r="B82" s="2" t="e">
        <x:f>IFERROR(__xludf.DUMMYFUNCTION("IF(A82="""","""",SUMPRODUCT(--(LEFT(TO_TEXT(Eventos!B$2:B$1000),10)=A82),--(Eventos!N$2:N$1000&lt;&gt;0),Eventos!I$2:I$1000))"),"")</x:f>
        <x:v>#NAME?</x:v>
      </x:c>
      <x:c r="C82" s="2" t="e">
        <x:f>IFERROR(__xludf.DUMMYFUNCTION("IF(A82="""","""",SUMPRODUCT(--(LEFT(TO_TEXT(Eventos!B$2:B$1000),10)=A82),--(Eventos!N$2:N$1000&lt;&gt;0),Eventos!M$2:M$1000))"),"")</x:f>
        <x:v>#NAME?</x:v>
      </x:c>
      <x:c r="D82" s="2" t="e">
        <x:f>IFERROR(__xludf.DUMMYFUNCTION("IF(A82="""","""",SUMPRODUCT(--(LEFT(TO_TEXT(Eventos!B$2:B$1000),10)=A82),Eventos!N$2:N$1000))"),"")</x:f>
        <x:v>#NAME?</x:v>
      </x:c>
      <x:c r="E82" s="2" t="str">
        <x:f t="shared" si="2"/>
      </x:c>
      <x:c r="F82" s="2" t="str">
        <x:f t="shared" si="5"/>
      </x:c>
    </x:row>
    <x:row r="83">
      <x:c r="A83" s="2" t="str">
        <x:f t="shared" si="4"/>
      </x:c>
      <x:c r="B83" s="2" t="e">
        <x:f>IFERROR(__xludf.DUMMYFUNCTION("IF(A83="""","""",SUMPRODUCT(--(LEFT(TO_TEXT(Eventos!B$2:B$1000),10)=A83),--(Eventos!N$2:N$1000&lt;&gt;0),Eventos!I$2:I$1000))"),"")</x:f>
        <x:v>#NAME?</x:v>
      </x:c>
      <x:c r="C83" s="2" t="e">
        <x:f>IFERROR(__xludf.DUMMYFUNCTION("IF(A83="""","""",SUMPRODUCT(--(LEFT(TO_TEXT(Eventos!B$2:B$1000),10)=A83),--(Eventos!N$2:N$1000&lt;&gt;0),Eventos!M$2:M$1000))"),"")</x:f>
        <x:v>#NAME?</x:v>
      </x:c>
      <x:c r="D83" s="2" t="e">
        <x:f>IFERROR(__xludf.DUMMYFUNCTION("IF(A83="""","""",SUMPRODUCT(--(LEFT(TO_TEXT(Eventos!B$2:B$1000),10)=A83),Eventos!N$2:N$1000))"),"")</x:f>
        <x:v>#NAME?</x:v>
      </x:c>
      <x:c r="E83" s="2" t="str">
        <x:f t="shared" si="2"/>
      </x:c>
      <x:c r="F83" s="2" t="str">
        <x:f t="shared" si="5"/>
      </x:c>
    </x:row>
    <x:row r="84">
      <x:c r="A84" s="2" t="str">
        <x:f t="shared" si="4"/>
      </x:c>
      <x:c r="B84" s="2" t="e">
        <x:f>IFERROR(__xludf.DUMMYFUNCTION("IF(A84="""","""",SUMPRODUCT(--(LEFT(TO_TEXT(Eventos!B$2:B$1000),10)=A84),--(Eventos!N$2:N$1000&lt;&gt;0),Eventos!I$2:I$1000))"),"")</x:f>
        <x:v>#NAME?</x:v>
      </x:c>
      <x:c r="C84" s="2" t="e">
        <x:f>IFERROR(__xludf.DUMMYFUNCTION("IF(A84="""","""",SUMPRODUCT(--(LEFT(TO_TEXT(Eventos!B$2:B$1000),10)=A84),--(Eventos!N$2:N$1000&lt;&gt;0),Eventos!M$2:M$1000))"),"")</x:f>
        <x:v>#NAME?</x:v>
      </x:c>
      <x:c r="D84" s="2" t="e">
        <x:f>IFERROR(__xludf.DUMMYFUNCTION("IF(A84="""","""",SUMPRODUCT(--(LEFT(TO_TEXT(Eventos!B$2:B$1000),10)=A84),Eventos!N$2:N$1000))"),"")</x:f>
        <x:v>#NAME?</x:v>
      </x:c>
      <x:c r="E84" s="2" t="str">
        <x:f t="shared" si="2"/>
      </x:c>
      <x:c r="F84" s="2" t="str">
        <x:f t="shared" si="5"/>
      </x:c>
    </x:row>
    <x:row r="85">
      <x:c r="A85" s="2" t="str">
        <x:f t="shared" si="4"/>
      </x:c>
      <x:c r="B85" s="2" t="e">
        <x:f>IFERROR(__xludf.DUMMYFUNCTION("IF(A85="""","""",SUMPRODUCT(--(LEFT(TO_TEXT(Eventos!B$2:B$1000),10)=A85),--(Eventos!N$2:N$1000&lt;&gt;0),Eventos!I$2:I$1000))"),"")</x:f>
        <x:v>#NAME?</x:v>
      </x:c>
      <x:c r="C85" s="2" t="e">
        <x:f>IFERROR(__xludf.DUMMYFUNCTION("IF(A85="""","""",SUMPRODUCT(--(LEFT(TO_TEXT(Eventos!B$2:B$1000),10)=A85),--(Eventos!N$2:N$1000&lt;&gt;0),Eventos!M$2:M$1000))"),"")</x:f>
        <x:v>#NAME?</x:v>
      </x:c>
      <x:c r="D85" s="2" t="e">
        <x:f>IFERROR(__xludf.DUMMYFUNCTION("IF(A85="""","""",SUMPRODUCT(--(LEFT(TO_TEXT(Eventos!B$2:B$1000),10)=A85),Eventos!N$2:N$1000))"),"")</x:f>
        <x:v>#NAME?</x:v>
      </x:c>
      <x:c r="E85" s="2" t="str">
        <x:f t="shared" si="2"/>
      </x:c>
      <x:c r="F85" s="2" t="str">
        <x:f t="shared" si="5"/>
      </x:c>
    </x:row>
    <x:row r="86">
      <x:c r="A86" s="2" t="str">
        <x:f t="shared" si="4"/>
      </x:c>
      <x:c r="B86" s="2" t="e">
        <x:f>IFERROR(__xludf.DUMMYFUNCTION("IF(A86="""","""",SUMPRODUCT(--(LEFT(TO_TEXT(Eventos!B$2:B$1000),10)=A86),--(Eventos!N$2:N$1000&lt;&gt;0),Eventos!I$2:I$1000))"),"")</x:f>
        <x:v>#NAME?</x:v>
      </x:c>
      <x:c r="C86" s="2" t="e">
        <x:f>IFERROR(__xludf.DUMMYFUNCTION("IF(A86="""","""",SUMPRODUCT(--(LEFT(TO_TEXT(Eventos!B$2:B$1000),10)=A86),--(Eventos!N$2:N$1000&lt;&gt;0),Eventos!M$2:M$1000))"),"")</x:f>
        <x:v>#NAME?</x:v>
      </x:c>
      <x:c r="D86" s="2" t="e">
        <x:f>IFERROR(__xludf.DUMMYFUNCTION("IF(A86="""","""",SUMPRODUCT(--(LEFT(TO_TEXT(Eventos!B$2:B$1000),10)=A86),Eventos!N$2:N$1000))"),"")</x:f>
        <x:v>#NAME?</x:v>
      </x:c>
      <x:c r="E86" s="2" t="str">
        <x:f t="shared" si="2"/>
      </x:c>
      <x:c r="F86" s="2" t="str">
        <x:f t="shared" si="5"/>
      </x:c>
    </x:row>
    <x:row r="87">
      <x:c r="A87" s="2" t="str">
        <x:f t="shared" si="4"/>
      </x:c>
      <x:c r="B87" s="2" t="e">
        <x:f>IFERROR(__xludf.DUMMYFUNCTION("IF(A87="""","""",SUMPRODUCT(--(LEFT(TO_TEXT(Eventos!B$2:B$1000),10)=A87),--(Eventos!N$2:N$1000&lt;&gt;0),Eventos!I$2:I$1000))"),"")</x:f>
        <x:v>#NAME?</x:v>
      </x:c>
      <x:c r="C87" s="2" t="e">
        <x:f>IFERROR(__xludf.DUMMYFUNCTION("IF(A87="""","""",SUMPRODUCT(--(LEFT(TO_TEXT(Eventos!B$2:B$1000),10)=A87),--(Eventos!N$2:N$1000&lt;&gt;0),Eventos!M$2:M$1000))"),"")</x:f>
        <x:v>#NAME?</x:v>
      </x:c>
      <x:c r="D87" s="2" t="e">
        <x:f>IFERROR(__xludf.DUMMYFUNCTION("IF(A87="""","""",SUMPRODUCT(--(LEFT(TO_TEXT(Eventos!B$2:B$1000),10)=A87),Eventos!N$2:N$1000))"),"")</x:f>
        <x:v>#NAME?</x:v>
      </x:c>
      <x:c r="E87" s="2" t="str">
        <x:f t="shared" si="2"/>
      </x:c>
      <x:c r="F87" s="2" t="str">
        <x:f t="shared" si="5"/>
      </x:c>
    </x:row>
    <x:row r="88">
      <x:c r="A88" s="2" t="str">
        <x:f t="shared" si="4"/>
      </x:c>
      <x:c r="B88" s="2" t="e">
        <x:f>IFERROR(__xludf.DUMMYFUNCTION("IF(A88="""","""",SUMPRODUCT(--(LEFT(TO_TEXT(Eventos!B$2:B$1000),10)=A88),--(Eventos!N$2:N$1000&lt;&gt;0),Eventos!I$2:I$1000))"),"")</x:f>
        <x:v>#NAME?</x:v>
      </x:c>
      <x:c r="C88" s="2" t="e">
        <x:f>IFERROR(__xludf.DUMMYFUNCTION("IF(A88="""","""",SUMPRODUCT(--(LEFT(TO_TEXT(Eventos!B$2:B$1000),10)=A88),--(Eventos!N$2:N$1000&lt;&gt;0),Eventos!M$2:M$1000))"),"")</x:f>
        <x:v>#NAME?</x:v>
      </x:c>
      <x:c r="D88" s="2" t="e">
        <x:f>IFERROR(__xludf.DUMMYFUNCTION("IF(A88="""","""",SUMPRODUCT(--(LEFT(TO_TEXT(Eventos!B$2:B$1000),10)=A88),Eventos!N$2:N$1000))"),"")</x:f>
        <x:v>#NAME?</x:v>
      </x:c>
      <x:c r="E88" s="2" t="str">
        <x:f t="shared" si="2"/>
      </x:c>
      <x:c r="F88" s="2" t="str">
        <x:f t="shared" si="5"/>
      </x:c>
    </x:row>
    <x:row r="89">
      <x:c r="A89" s="2" t="str">
        <x:f t="shared" si="4"/>
      </x:c>
      <x:c r="B89" s="2" t="e">
        <x:f>IFERROR(__xludf.DUMMYFUNCTION("IF(A89="""","""",SUMPRODUCT(--(LEFT(TO_TEXT(Eventos!B$2:B$1000),10)=A89),--(Eventos!N$2:N$1000&lt;&gt;0),Eventos!I$2:I$1000))"),"")</x:f>
        <x:v>#NAME?</x:v>
      </x:c>
      <x:c r="C89" s="2" t="e">
        <x:f>IFERROR(__xludf.DUMMYFUNCTION("IF(A89="""","""",SUMPRODUCT(--(LEFT(TO_TEXT(Eventos!B$2:B$1000),10)=A89),--(Eventos!N$2:N$1000&lt;&gt;0),Eventos!M$2:M$1000))"),"")</x:f>
        <x:v>#NAME?</x:v>
      </x:c>
      <x:c r="D89" s="2" t="e">
        <x:f>IFERROR(__xludf.DUMMYFUNCTION("IF(A89="""","""",SUMPRODUCT(--(LEFT(TO_TEXT(Eventos!B$2:B$1000),10)=A89),Eventos!N$2:N$1000))"),"")</x:f>
        <x:v>#NAME?</x:v>
      </x:c>
      <x:c r="E89" s="2" t="str">
        <x:f t="shared" si="2"/>
      </x:c>
      <x:c r="F89" s="2" t="str">
        <x:f t="shared" si="5"/>
      </x:c>
    </x:row>
    <x:row r="90">
      <x:c r="A90" s="2" t="str">
        <x:f t="shared" si="4"/>
      </x:c>
      <x:c r="B90" s="2" t="e">
        <x:f>IFERROR(__xludf.DUMMYFUNCTION("IF(A90="""","""",SUMPRODUCT(--(LEFT(TO_TEXT(Eventos!B$2:B$1000),10)=A90),--(Eventos!N$2:N$1000&lt;&gt;0),Eventos!I$2:I$1000))"),"")</x:f>
        <x:v>#NAME?</x:v>
      </x:c>
      <x:c r="C90" s="2" t="e">
        <x:f>IFERROR(__xludf.DUMMYFUNCTION("IF(A90="""","""",SUMPRODUCT(--(LEFT(TO_TEXT(Eventos!B$2:B$1000),10)=A90),--(Eventos!N$2:N$1000&lt;&gt;0),Eventos!M$2:M$1000))"),"")</x:f>
        <x:v>#NAME?</x:v>
      </x:c>
      <x:c r="D90" s="2" t="e">
        <x:f>IFERROR(__xludf.DUMMYFUNCTION("IF(A90="""","""",SUMPRODUCT(--(LEFT(TO_TEXT(Eventos!B$2:B$1000),10)=A90),Eventos!N$2:N$1000))"),"")</x:f>
        <x:v>#NAME?</x:v>
      </x:c>
      <x:c r="E90" s="2" t="str">
        <x:f t="shared" si="2"/>
      </x:c>
      <x:c r="F90" s="2" t="str">
        <x:f t="shared" si="5"/>
      </x:c>
    </x:row>
    <x:row r="91">
      <x:c r="A91" s="2" t="str">
        <x:f t="shared" si="4"/>
      </x:c>
      <x:c r="B91" s="2" t="e">
        <x:f>IFERROR(__xludf.DUMMYFUNCTION("IF(A91="""","""",SUMPRODUCT(--(LEFT(TO_TEXT(Eventos!B$2:B$1000),10)=A91),--(Eventos!N$2:N$1000&lt;&gt;0),Eventos!I$2:I$1000))"),"")</x:f>
        <x:v>#NAME?</x:v>
      </x:c>
      <x:c r="C91" s="2" t="e">
        <x:f>IFERROR(__xludf.DUMMYFUNCTION("IF(A91="""","""",SUMPRODUCT(--(LEFT(TO_TEXT(Eventos!B$2:B$1000),10)=A91),--(Eventos!N$2:N$1000&lt;&gt;0),Eventos!M$2:M$1000))"),"")</x:f>
        <x:v>#NAME?</x:v>
      </x:c>
      <x:c r="D91" s="2" t="e">
        <x:f>IFERROR(__xludf.DUMMYFUNCTION("IF(A91="""","""",SUMPRODUCT(--(LEFT(TO_TEXT(Eventos!B$2:B$1000),10)=A91),Eventos!N$2:N$1000))"),"")</x:f>
        <x:v>#NAME?</x:v>
      </x:c>
      <x:c r="E91" s="2" t="str">
        <x:f t="shared" si="2"/>
      </x:c>
      <x:c r="F91" s="2" t="str">
        <x:f t="shared" si="5"/>
      </x:c>
    </x:row>
    <x:row r="92">
      <x:c r="A92" s="2" t="str">
        <x:f t="shared" si="4"/>
      </x:c>
      <x:c r="B92" s="2" t="e">
        <x:f>IFERROR(__xludf.DUMMYFUNCTION("IF(A92="""","""",SUMPRODUCT(--(LEFT(TO_TEXT(Eventos!B$2:B$1000),10)=A92),--(Eventos!N$2:N$1000&lt;&gt;0),Eventos!I$2:I$1000))"),"")</x:f>
        <x:v>#NAME?</x:v>
      </x:c>
      <x:c r="C92" s="2" t="e">
        <x:f>IFERROR(__xludf.DUMMYFUNCTION("IF(A92="""","""",SUMPRODUCT(--(LEFT(TO_TEXT(Eventos!B$2:B$1000),10)=A92),--(Eventos!N$2:N$1000&lt;&gt;0),Eventos!M$2:M$1000))"),"")</x:f>
        <x:v>#NAME?</x:v>
      </x:c>
      <x:c r="D92" s="2" t="e">
        <x:f>IFERROR(__xludf.DUMMYFUNCTION("IF(A92="""","""",SUMPRODUCT(--(LEFT(TO_TEXT(Eventos!B$2:B$1000),10)=A92),Eventos!N$2:N$1000))"),"")</x:f>
        <x:v>#NAME?</x:v>
      </x:c>
      <x:c r="E92" s="2" t="str">
        <x:f t="shared" si="2"/>
      </x:c>
      <x:c r="F92" s="2" t="str">
        <x:f t="shared" si="5"/>
      </x:c>
    </x:row>
    <x:row r="93">
      <x:c r="A93" s="2" t="str">
        <x:f t="shared" si="4"/>
      </x:c>
      <x:c r="B93" s="2" t="e">
        <x:f>IFERROR(__xludf.DUMMYFUNCTION("IF(A93="""","""",SUMPRODUCT(--(LEFT(TO_TEXT(Eventos!B$2:B$1000),10)=A93),--(Eventos!N$2:N$1000&lt;&gt;0),Eventos!I$2:I$1000))"),"")</x:f>
        <x:v>#NAME?</x:v>
      </x:c>
      <x:c r="C93" s="2" t="e">
        <x:f>IFERROR(__xludf.DUMMYFUNCTION("IF(A93="""","""",SUMPRODUCT(--(LEFT(TO_TEXT(Eventos!B$2:B$1000),10)=A93),--(Eventos!N$2:N$1000&lt;&gt;0),Eventos!M$2:M$1000))"),"")</x:f>
        <x:v>#NAME?</x:v>
      </x:c>
      <x:c r="D93" s="2" t="e">
        <x:f>IFERROR(__xludf.DUMMYFUNCTION("IF(A93="""","""",SUMPRODUCT(--(LEFT(TO_TEXT(Eventos!B$2:B$1000),10)=A93),Eventos!N$2:N$1000))"),"")</x:f>
        <x:v>#NAME?</x:v>
      </x:c>
      <x:c r="E93" s="2" t="str">
        <x:f t="shared" si="2"/>
      </x:c>
      <x:c r="F93" s="2" t="str">
        <x:f t="shared" si="5"/>
      </x:c>
    </x:row>
    <x:row r="94">
      <x:c r="A94" s="2" t="str">
        <x:f t="shared" si="4"/>
      </x:c>
      <x:c r="B94" s="2" t="e">
        <x:f>IFERROR(__xludf.DUMMYFUNCTION("IF(A94="""","""",SUMPRODUCT(--(LEFT(TO_TEXT(Eventos!B$2:B$1000),10)=A94),--(Eventos!N$2:N$1000&lt;&gt;0),Eventos!I$2:I$1000))"),"")</x:f>
        <x:v>#NAME?</x:v>
      </x:c>
      <x:c r="C94" s="2" t="e">
        <x:f>IFERROR(__xludf.DUMMYFUNCTION("IF(A94="""","""",SUMPRODUCT(--(LEFT(TO_TEXT(Eventos!B$2:B$1000),10)=A94),--(Eventos!N$2:N$1000&lt;&gt;0),Eventos!M$2:M$1000))"),"")</x:f>
        <x:v>#NAME?</x:v>
      </x:c>
      <x:c r="D94" s="2" t="e">
        <x:f>IFERROR(__xludf.DUMMYFUNCTION("IF(A94="""","""",SUMPRODUCT(--(LEFT(TO_TEXT(Eventos!B$2:B$1000),10)=A94),Eventos!N$2:N$1000))"),"")</x:f>
        <x:v>#NAME?</x:v>
      </x:c>
      <x:c r="E94" s="2" t="str">
        <x:f t="shared" si="2"/>
      </x:c>
      <x:c r="F94" s="2" t="str">
        <x:f t="shared" si="5"/>
      </x:c>
    </x:row>
    <x:row r="95">
      <x:c r="A95" s="2" t="str">
        <x:f t="shared" si="4"/>
      </x:c>
      <x:c r="B95" s="2" t="e">
        <x:f>IFERROR(__xludf.DUMMYFUNCTION("IF(A95="""","""",SUMPRODUCT(--(LEFT(TO_TEXT(Eventos!B$2:B$1000),10)=A95),--(Eventos!N$2:N$1000&lt;&gt;0),Eventos!I$2:I$1000))"),"")</x:f>
        <x:v>#NAME?</x:v>
      </x:c>
      <x:c r="C95" s="2" t="e">
        <x:f>IFERROR(__xludf.DUMMYFUNCTION("IF(A95="""","""",SUMPRODUCT(--(LEFT(TO_TEXT(Eventos!B$2:B$1000),10)=A95),--(Eventos!N$2:N$1000&lt;&gt;0),Eventos!M$2:M$1000))"),"")</x:f>
        <x:v>#NAME?</x:v>
      </x:c>
      <x:c r="D95" s="2" t="e">
        <x:f>IFERROR(__xludf.DUMMYFUNCTION("IF(A95="""","""",SUMPRODUCT(--(LEFT(TO_TEXT(Eventos!B$2:B$1000),10)=A95),Eventos!N$2:N$1000))"),"")</x:f>
        <x:v>#NAME?</x:v>
      </x:c>
      <x:c r="E95" s="2" t="str">
        <x:f t="shared" si="2"/>
      </x:c>
      <x:c r="F95" s="2" t="str">
        <x:f t="shared" si="5"/>
      </x:c>
    </x:row>
    <x:row r="96">
      <x:c r="A96" s="2" t="str">
        <x:f t="shared" si="4"/>
      </x:c>
      <x:c r="B96" s="2" t="e">
        <x:f>IFERROR(__xludf.DUMMYFUNCTION("IF(A96="""","""",SUMPRODUCT(--(LEFT(TO_TEXT(Eventos!B$2:B$1000),10)=A96),--(Eventos!N$2:N$1000&lt;&gt;0),Eventos!I$2:I$1000))"),"")</x:f>
        <x:v>#NAME?</x:v>
      </x:c>
      <x:c r="C96" s="2" t="e">
        <x:f>IFERROR(__xludf.DUMMYFUNCTION("IF(A96="""","""",SUMPRODUCT(--(LEFT(TO_TEXT(Eventos!B$2:B$1000),10)=A96),--(Eventos!N$2:N$1000&lt;&gt;0),Eventos!M$2:M$1000))"),"")</x:f>
        <x:v>#NAME?</x:v>
      </x:c>
      <x:c r="D96" s="2" t="e">
        <x:f>IFERROR(__xludf.DUMMYFUNCTION("IF(A96="""","""",SUMPRODUCT(--(LEFT(TO_TEXT(Eventos!B$2:B$1000),10)=A96),Eventos!N$2:N$1000))"),"")</x:f>
        <x:v>#NAME?</x:v>
      </x:c>
      <x:c r="E96" s="2" t="str">
        <x:f t="shared" si="2"/>
      </x:c>
      <x:c r="F96" s="2" t="str">
        <x:f t="shared" si="5"/>
      </x:c>
    </x:row>
    <x:row r="97">
      <x:c r="A97" s="2" t="str">
        <x:f t="shared" si="4"/>
      </x:c>
      <x:c r="B97" s="2" t="e">
        <x:f>IFERROR(__xludf.DUMMYFUNCTION("IF(A97="""","""",SUMPRODUCT(--(LEFT(TO_TEXT(Eventos!B$2:B$1000),10)=A97),--(Eventos!N$2:N$1000&lt;&gt;0),Eventos!I$2:I$1000))"),"")</x:f>
        <x:v>#NAME?</x:v>
      </x:c>
      <x:c r="C97" s="2" t="e">
        <x:f>IFERROR(__xludf.DUMMYFUNCTION("IF(A97="""","""",SUMPRODUCT(--(LEFT(TO_TEXT(Eventos!B$2:B$1000),10)=A97),--(Eventos!N$2:N$1000&lt;&gt;0),Eventos!M$2:M$1000))"),"")</x:f>
        <x:v>#NAME?</x:v>
      </x:c>
      <x:c r="D97" s="2" t="e">
        <x:f>IFERROR(__xludf.DUMMYFUNCTION("IF(A97="""","""",SUMPRODUCT(--(LEFT(TO_TEXT(Eventos!B$2:B$1000),10)=A97),Eventos!N$2:N$1000))"),"")</x:f>
        <x:v>#NAME?</x:v>
      </x:c>
      <x:c r="E97" s="2" t="str">
        <x:f t="shared" si="2"/>
      </x:c>
      <x:c r="F97" s="2" t="str">
        <x:f t="shared" si="5"/>
      </x:c>
    </x:row>
    <x:row r="98">
      <x:c r="A98" s="2" t="str">
        <x:f t="shared" si="4"/>
      </x:c>
      <x:c r="B98" s="2" t="e">
        <x:f>IFERROR(__xludf.DUMMYFUNCTION("IF(A98="""","""",SUMPRODUCT(--(LEFT(TO_TEXT(Eventos!B$2:B$1000),10)=A98),--(Eventos!N$2:N$1000&lt;&gt;0),Eventos!I$2:I$1000))"),"")</x:f>
        <x:v>#NAME?</x:v>
      </x:c>
      <x:c r="C98" s="2" t="e">
        <x:f>IFERROR(__xludf.DUMMYFUNCTION("IF(A98="""","""",SUMPRODUCT(--(LEFT(TO_TEXT(Eventos!B$2:B$1000),10)=A98),--(Eventos!N$2:N$1000&lt;&gt;0),Eventos!M$2:M$1000))"),"")</x:f>
        <x:v>#NAME?</x:v>
      </x:c>
      <x:c r="D98" s="2" t="e">
        <x:f>IFERROR(__xludf.DUMMYFUNCTION("IF(A98="""","""",SUMPRODUCT(--(LEFT(TO_TEXT(Eventos!B$2:B$1000),10)=A98),Eventos!N$2:N$1000))"),"")</x:f>
        <x:v>#NAME?</x:v>
      </x:c>
      <x:c r="E98" s="2" t="str">
        <x:f t="shared" si="2"/>
      </x:c>
      <x:c r="F98" s="2" t="str">
        <x:f t="shared" si="5"/>
      </x:c>
    </x:row>
    <x:row r="99">
      <x:c r="A99" s="2" t="str">
        <x:f t="shared" si="4"/>
      </x:c>
      <x:c r="B99" s="2" t="e">
        <x:f>IFERROR(__xludf.DUMMYFUNCTION("IF(A99="""","""",SUMPRODUCT(--(LEFT(TO_TEXT(Eventos!B$2:B$1000),10)=A99),--(Eventos!N$2:N$1000&lt;&gt;0),Eventos!I$2:I$1000))"),"")</x:f>
        <x:v>#NAME?</x:v>
      </x:c>
      <x:c r="C99" s="2" t="e">
        <x:f>IFERROR(__xludf.DUMMYFUNCTION("IF(A99="""","""",SUMPRODUCT(--(LEFT(TO_TEXT(Eventos!B$2:B$1000),10)=A99),--(Eventos!N$2:N$1000&lt;&gt;0),Eventos!M$2:M$1000))"),"")</x:f>
        <x:v>#NAME?</x:v>
      </x:c>
      <x:c r="D99" s="2" t="e">
        <x:f>IFERROR(__xludf.DUMMYFUNCTION("IF(A99="""","""",SUMPRODUCT(--(LEFT(TO_TEXT(Eventos!B$2:B$1000),10)=A99),Eventos!N$2:N$1000))"),"")</x:f>
        <x:v>#NAME?</x:v>
      </x:c>
      <x:c r="E99" s="2" t="str">
        <x:f t="shared" si="2"/>
      </x:c>
      <x:c r="F99" s="2" t="str">
        <x:f t="shared" si="5"/>
      </x:c>
    </x:row>
    <x:row r="100">
      <x:c r="A100" s="2" t="str">
        <x:f t="shared" si="4"/>
      </x:c>
      <x:c r="B100" s="2" t="e">
        <x:f>IFERROR(__xludf.DUMMYFUNCTION("IF(A100="""","""",SUMPRODUCT(--(LEFT(TO_TEXT(Eventos!B$2:B$1000),10)=A100),--(Eventos!N$2:N$1000&lt;&gt;0),Eventos!I$2:I$1000))"),"")</x:f>
        <x:v>#NAME?</x:v>
      </x:c>
      <x:c r="C100" s="2" t="e">
        <x:f>IFERROR(__xludf.DUMMYFUNCTION("IF(A100="""","""",SUMPRODUCT(--(LEFT(TO_TEXT(Eventos!B$2:B$1000),10)=A100),--(Eventos!N$2:N$1000&lt;&gt;0),Eventos!M$2:M$1000))"),"")</x:f>
        <x:v>#NAME?</x:v>
      </x:c>
      <x:c r="D100" s="2" t="e">
        <x:f>IFERROR(__xludf.DUMMYFUNCTION("IF(A100="""","""",SUMPRODUCT(--(LEFT(TO_TEXT(Eventos!B$2:B$1000),10)=A100),Eventos!N$2:N$1000))"),"")</x:f>
        <x:v>#NAME?</x:v>
      </x:c>
      <x:c r="E100" s="2" t="str">
        <x:f t="shared" si="2"/>
      </x:c>
      <x:c r="F100" s="2" t="str">
        <x:f t="shared" si="5"/>
      </x:c>
    </x:row>
    <x:row r="101">
      <x:c r="A101" s="2" t="str">
        <x:f t="shared" si="4"/>
      </x:c>
      <x:c r="B101" s="2" t="e">
        <x:f>IFERROR(__xludf.DUMMYFUNCTION("IF(A101="""","""",SUMPRODUCT(--(LEFT(TO_TEXT(Eventos!B$2:B$1000),10)=A101),--(Eventos!N$2:N$1000&lt;&gt;0),Eventos!I$2:I$1000))"),"")</x:f>
        <x:v>#NAME?</x:v>
      </x:c>
      <x:c r="C101" s="2" t="e">
        <x:f>IFERROR(__xludf.DUMMYFUNCTION("IF(A101="""","""",SUMPRODUCT(--(LEFT(TO_TEXT(Eventos!B$2:B$1000),10)=A101),--(Eventos!N$2:N$1000&lt;&gt;0),Eventos!M$2:M$1000))"),"")</x:f>
        <x:v>#NAME?</x:v>
      </x:c>
      <x:c r="D101" s="2" t="e">
        <x:f>IFERROR(__xludf.DUMMYFUNCTION("IF(A101="""","""",SUMPRODUCT(--(LEFT(TO_TEXT(Eventos!B$2:B$1000),10)=A101),Eventos!N$2:N$1000))"),"")</x:f>
        <x:v>#NAME?</x:v>
      </x:c>
      <x:c r="E101" s="2" t="str">
        <x:f t="shared" si="2"/>
      </x:c>
      <x:c r="F101" s="2" t="str">
        <x:f t="shared" si="5"/>
      </x:c>
    </x:row>
    <x:row r="102">
      <x:c r="A102" s="2" t="str">
        <x:f t="shared" si="4"/>
      </x:c>
      <x:c r="B102" s="2" t="e">
        <x:f>IFERROR(__xludf.DUMMYFUNCTION("IF(A102="""","""",SUMPRODUCT(--(LEFT(TO_TEXT(Eventos!B$2:B$1000),10)=A102),--(Eventos!N$2:N$1000&lt;&gt;0),Eventos!I$2:I$1000))"),"")</x:f>
        <x:v>#NAME?</x:v>
      </x:c>
      <x:c r="C102" s="2" t="e">
        <x:f>IFERROR(__xludf.DUMMYFUNCTION("IF(A102="""","""",SUMPRODUCT(--(LEFT(TO_TEXT(Eventos!B$2:B$1000),10)=A102),--(Eventos!N$2:N$1000&lt;&gt;0),Eventos!M$2:M$1000))"),"")</x:f>
        <x:v>#NAME?</x:v>
      </x:c>
      <x:c r="D102" s="2" t="e">
        <x:f>IFERROR(__xludf.DUMMYFUNCTION("IF(A102="""","""",SUMPRODUCT(--(LEFT(TO_TEXT(Eventos!B$2:B$1000),10)=A102),Eventos!N$2:N$1000))"),"")</x:f>
        <x:v>#NAME?</x:v>
      </x:c>
      <x:c r="E102" s="2" t="str">
        <x:f t="shared" si="2"/>
      </x:c>
      <x:c r="F102" s="2" t="str">
        <x:f t="shared" si="5"/>
      </x:c>
    </x:row>
    <x:row r="103">
      <x:c r="A103" s="2" t="str">
        <x:f t="shared" si="4"/>
      </x:c>
      <x:c r="B103" s="2" t="e">
        <x:f>IFERROR(__xludf.DUMMYFUNCTION("IF(A103="""","""",SUMPRODUCT(--(LEFT(TO_TEXT(Eventos!B$2:B$1000),10)=A103),--(Eventos!N$2:N$1000&lt;&gt;0),Eventos!I$2:I$1000))"),"")</x:f>
        <x:v>#NAME?</x:v>
      </x:c>
      <x:c r="C103" s="2" t="e">
        <x:f>IFERROR(__xludf.DUMMYFUNCTION("IF(A103="""","""",SUMPRODUCT(--(LEFT(TO_TEXT(Eventos!B$2:B$1000),10)=A103),--(Eventos!N$2:N$1000&lt;&gt;0),Eventos!M$2:M$1000))"),"")</x:f>
        <x:v>#NAME?</x:v>
      </x:c>
      <x:c r="D103" s="2" t="e">
        <x:f>IFERROR(__xludf.DUMMYFUNCTION("IF(A103="""","""",SUMPRODUCT(--(LEFT(TO_TEXT(Eventos!B$2:B$1000),10)=A103),Eventos!N$2:N$1000))"),"")</x:f>
        <x:v>#NAME?</x:v>
      </x:c>
      <x:c r="E103" s="2" t="str">
        <x:f t="shared" si="2"/>
      </x:c>
      <x:c r="F103" s="2" t="str">
        <x:f t="shared" si="5"/>
      </x:c>
    </x:row>
    <x:row r="104">
      <x:c r="A104" s="2" t="str">
        <x:f t="shared" si="4"/>
      </x:c>
      <x:c r="B104" s="2" t="e">
        <x:f>IFERROR(__xludf.DUMMYFUNCTION("IF(A104="""","""",SUMPRODUCT(--(LEFT(TO_TEXT(Eventos!B$2:B$1000),10)=A104),--(Eventos!N$2:N$1000&lt;&gt;0),Eventos!I$2:I$1000))"),"")</x:f>
        <x:v>#NAME?</x:v>
      </x:c>
      <x:c r="C104" s="2" t="e">
        <x:f>IFERROR(__xludf.DUMMYFUNCTION("IF(A104="""","""",SUMPRODUCT(--(LEFT(TO_TEXT(Eventos!B$2:B$1000),10)=A104),--(Eventos!N$2:N$1000&lt;&gt;0),Eventos!M$2:M$1000))"),"")</x:f>
        <x:v>#NAME?</x:v>
      </x:c>
      <x:c r="D104" s="2" t="e">
        <x:f>IFERROR(__xludf.DUMMYFUNCTION("IF(A104="""","""",SUMPRODUCT(--(LEFT(TO_TEXT(Eventos!B$2:B$1000),10)=A104),Eventos!N$2:N$1000))"),"")</x:f>
        <x:v>#NAME?</x:v>
      </x:c>
      <x:c r="E104" s="2" t="str">
        <x:f t="shared" si="2"/>
      </x:c>
      <x:c r="F104" s="2" t="str">
        <x:f t="shared" si="5"/>
      </x:c>
    </x:row>
    <x:row r="105">
      <x:c r="A105" s="2" t="str">
        <x:f t="shared" si="4"/>
      </x:c>
      <x:c r="B105" s="2" t="e">
        <x:f>IFERROR(__xludf.DUMMYFUNCTION("IF(A105="""","""",SUMPRODUCT(--(LEFT(TO_TEXT(Eventos!B$2:B$1000),10)=A105),--(Eventos!N$2:N$1000&lt;&gt;0),Eventos!I$2:I$1000))"),"")</x:f>
        <x:v>#NAME?</x:v>
      </x:c>
      <x:c r="C105" s="2" t="e">
        <x:f>IFERROR(__xludf.DUMMYFUNCTION("IF(A105="""","""",SUMPRODUCT(--(LEFT(TO_TEXT(Eventos!B$2:B$1000),10)=A105),--(Eventos!N$2:N$1000&lt;&gt;0),Eventos!M$2:M$1000))"),"")</x:f>
        <x:v>#NAME?</x:v>
      </x:c>
      <x:c r="D105" s="2" t="e">
        <x:f>IFERROR(__xludf.DUMMYFUNCTION("IF(A105="""","""",SUMPRODUCT(--(LEFT(TO_TEXT(Eventos!B$2:B$1000),10)=A105),Eventos!N$2:N$1000))"),"")</x:f>
        <x:v>#NAME?</x:v>
      </x:c>
      <x:c r="E105" s="2" t="str">
        <x:f t="shared" si="2"/>
      </x:c>
      <x:c r="F105" s="2" t="str">
        <x:f t="shared" si="5"/>
      </x:c>
    </x:row>
    <x:row r="106">
      <x:c r="A106" s="2" t="str">
        <x:f t="shared" si="4"/>
      </x:c>
      <x:c r="B106" s="2" t="e">
        <x:f>IFERROR(__xludf.DUMMYFUNCTION("IF(A106="""","""",SUMPRODUCT(--(LEFT(TO_TEXT(Eventos!B$2:B$1000),10)=A106),--(Eventos!N$2:N$1000&lt;&gt;0),Eventos!I$2:I$1000))"),"")</x:f>
        <x:v>#NAME?</x:v>
      </x:c>
      <x:c r="C106" s="2" t="e">
        <x:f>IFERROR(__xludf.DUMMYFUNCTION("IF(A106="""","""",SUMPRODUCT(--(LEFT(TO_TEXT(Eventos!B$2:B$1000),10)=A106),--(Eventos!N$2:N$1000&lt;&gt;0),Eventos!M$2:M$1000))"),"")</x:f>
        <x:v>#NAME?</x:v>
      </x:c>
      <x:c r="D106" s="2" t="e">
        <x:f>IFERROR(__xludf.DUMMYFUNCTION("IF(A106="""","""",SUMPRODUCT(--(LEFT(TO_TEXT(Eventos!B$2:B$1000),10)=A106),Eventos!N$2:N$1000))"),"")</x:f>
        <x:v>#NAME?</x:v>
      </x:c>
      <x:c r="E106" s="2" t="str">
        <x:f t="shared" si="2"/>
      </x:c>
      <x:c r="F106" s="2" t="str">
        <x:f t="shared" si="5"/>
      </x:c>
    </x:row>
    <x:row r="107">
      <x:c r="A107" s="2" t="str">
        <x:f t="shared" si="4"/>
      </x:c>
      <x:c r="B107" s="2" t="e">
        <x:f>IFERROR(__xludf.DUMMYFUNCTION("IF(A107="""","""",SUMPRODUCT(--(LEFT(TO_TEXT(Eventos!B$2:B$1000),10)=A107),--(Eventos!N$2:N$1000&lt;&gt;0),Eventos!I$2:I$1000))"),"")</x:f>
        <x:v>#NAME?</x:v>
      </x:c>
      <x:c r="C107" s="2" t="e">
        <x:f>IFERROR(__xludf.DUMMYFUNCTION("IF(A107="""","""",SUMPRODUCT(--(LEFT(TO_TEXT(Eventos!B$2:B$1000),10)=A107),--(Eventos!N$2:N$1000&lt;&gt;0),Eventos!M$2:M$1000))"),"")</x:f>
        <x:v>#NAME?</x:v>
      </x:c>
      <x:c r="D107" s="2" t="e">
        <x:f>IFERROR(__xludf.DUMMYFUNCTION("IF(A107="""","""",SUMPRODUCT(--(LEFT(TO_TEXT(Eventos!B$2:B$1000),10)=A107),Eventos!N$2:N$1000))"),"")</x:f>
        <x:v>#NAME?</x:v>
      </x:c>
      <x:c r="E107" s="2" t="str">
        <x:f t="shared" si="2"/>
      </x:c>
      <x:c r="F107" s="2" t="str">
        <x:f t="shared" si="5"/>
      </x:c>
    </x:row>
    <x:row r="108">
      <x:c r="A108" s="2" t="str">
        <x:f t="shared" si="4"/>
      </x:c>
      <x:c r="B108" s="2" t="e">
        <x:f>IFERROR(__xludf.DUMMYFUNCTION("IF(A108="""","""",SUMPRODUCT(--(LEFT(TO_TEXT(Eventos!B$2:B$1000),10)=A108),--(Eventos!N$2:N$1000&lt;&gt;0),Eventos!I$2:I$1000))"),"")</x:f>
        <x:v>#NAME?</x:v>
      </x:c>
      <x:c r="C108" s="2" t="e">
        <x:f>IFERROR(__xludf.DUMMYFUNCTION("IF(A108="""","""",SUMPRODUCT(--(LEFT(TO_TEXT(Eventos!B$2:B$1000),10)=A108),--(Eventos!N$2:N$1000&lt;&gt;0),Eventos!M$2:M$1000))"),"")</x:f>
        <x:v>#NAME?</x:v>
      </x:c>
      <x:c r="D108" s="2" t="e">
        <x:f>IFERROR(__xludf.DUMMYFUNCTION("IF(A108="""","""",SUMPRODUCT(--(LEFT(TO_TEXT(Eventos!B$2:B$1000),10)=A108),Eventos!N$2:N$1000))"),"")</x:f>
        <x:v>#NAME?</x:v>
      </x:c>
      <x:c r="E108" s="2" t="str">
        <x:f t="shared" si="2"/>
      </x:c>
      <x:c r="F108" s="2" t="str">
        <x:f t="shared" si="5"/>
      </x:c>
    </x:row>
    <x:row r="109">
      <x:c r="A109" s="2" t="str">
        <x:f t="shared" si="4"/>
      </x:c>
      <x:c r="B109" s="2" t="e">
        <x:f>IFERROR(__xludf.DUMMYFUNCTION("IF(A109="""","""",SUMPRODUCT(--(LEFT(TO_TEXT(Eventos!B$2:B$1000),10)=A109),--(Eventos!N$2:N$1000&lt;&gt;0),Eventos!I$2:I$1000))"),"")</x:f>
        <x:v>#NAME?</x:v>
      </x:c>
      <x:c r="C109" s="2" t="e">
        <x:f>IFERROR(__xludf.DUMMYFUNCTION("IF(A109="""","""",SUMPRODUCT(--(LEFT(TO_TEXT(Eventos!B$2:B$1000),10)=A109),--(Eventos!N$2:N$1000&lt;&gt;0),Eventos!M$2:M$1000))"),"")</x:f>
        <x:v>#NAME?</x:v>
      </x:c>
      <x:c r="D109" s="2" t="e">
        <x:f>IFERROR(__xludf.DUMMYFUNCTION("IF(A109="""","""",SUMPRODUCT(--(LEFT(TO_TEXT(Eventos!B$2:B$1000),10)=A109),Eventos!N$2:N$1000))"),"")</x:f>
        <x:v>#NAME?</x:v>
      </x:c>
      <x:c r="E109" s="2" t="str">
        <x:f t="shared" si="2"/>
      </x:c>
      <x:c r="F109" s="2" t="str">
        <x:f t="shared" si="5"/>
      </x:c>
    </x:row>
    <x:row r="110">
      <x:c r="A110" s="2" t="str">
        <x:f t="shared" si="4"/>
      </x:c>
      <x:c r="B110" s="2" t="e">
        <x:f>IFERROR(__xludf.DUMMYFUNCTION("IF(A110="""","""",SUMPRODUCT(--(LEFT(TO_TEXT(Eventos!B$2:B$1000),10)=A110),--(Eventos!N$2:N$1000&lt;&gt;0),Eventos!I$2:I$1000))"),"")</x:f>
        <x:v>#NAME?</x:v>
      </x:c>
      <x:c r="C110" s="2" t="e">
        <x:f>IFERROR(__xludf.DUMMYFUNCTION("IF(A110="""","""",SUMPRODUCT(--(LEFT(TO_TEXT(Eventos!B$2:B$1000),10)=A110),--(Eventos!N$2:N$1000&lt;&gt;0),Eventos!M$2:M$1000))"),"")</x:f>
        <x:v>#NAME?</x:v>
      </x:c>
      <x:c r="D110" s="2" t="e">
        <x:f>IFERROR(__xludf.DUMMYFUNCTION("IF(A110="""","""",SUMPRODUCT(--(LEFT(TO_TEXT(Eventos!B$2:B$1000),10)=A110),Eventos!N$2:N$1000))"),"")</x:f>
        <x:v>#NAME?</x:v>
      </x:c>
      <x:c r="E110" s="2" t="str">
        <x:f t="shared" si="2"/>
      </x:c>
      <x:c r="F110" s="2" t="str">
        <x:f t="shared" si="5"/>
      </x:c>
    </x:row>
    <x:row r="111">
      <x:c r="A111" s="2" t="str">
        <x:f t="shared" si="4"/>
      </x:c>
      <x:c r="B111" s="2" t="e">
        <x:f>IFERROR(__xludf.DUMMYFUNCTION("IF(A111="""","""",SUMPRODUCT(--(LEFT(TO_TEXT(Eventos!B$2:B$1000),10)=A111),--(Eventos!N$2:N$1000&lt;&gt;0),Eventos!I$2:I$1000))"),"")</x:f>
        <x:v>#NAME?</x:v>
      </x:c>
      <x:c r="C111" s="2" t="e">
        <x:f>IFERROR(__xludf.DUMMYFUNCTION("IF(A111="""","""",SUMPRODUCT(--(LEFT(TO_TEXT(Eventos!B$2:B$1000),10)=A111),--(Eventos!N$2:N$1000&lt;&gt;0),Eventos!M$2:M$1000))"),"")</x:f>
        <x:v>#NAME?</x:v>
      </x:c>
      <x:c r="D111" s="2" t="e">
        <x:f>IFERROR(__xludf.DUMMYFUNCTION("IF(A111="""","""",SUMPRODUCT(--(LEFT(TO_TEXT(Eventos!B$2:B$1000),10)=A111),Eventos!N$2:N$1000))"),"")</x:f>
        <x:v>#NAME?</x:v>
      </x:c>
      <x:c r="E111" s="2" t="str">
        <x:f t="shared" si="2"/>
      </x:c>
      <x:c r="F111" s="2" t="str">
        <x:f t="shared" si="5"/>
      </x:c>
    </x:row>
    <x:row r="112">
      <x:c r="A112" s="2" t="str">
        <x:f t="shared" si="4"/>
      </x:c>
      <x:c r="B112" s="2" t="e">
        <x:f>IFERROR(__xludf.DUMMYFUNCTION("IF(A112="""","""",SUMPRODUCT(--(LEFT(TO_TEXT(Eventos!B$2:B$1000),10)=A112),--(Eventos!N$2:N$1000&lt;&gt;0),Eventos!I$2:I$1000))"),"")</x:f>
        <x:v>#NAME?</x:v>
      </x:c>
      <x:c r="C112" s="2" t="e">
        <x:f>IFERROR(__xludf.DUMMYFUNCTION("IF(A112="""","""",SUMPRODUCT(--(LEFT(TO_TEXT(Eventos!B$2:B$1000),10)=A112),--(Eventos!N$2:N$1000&lt;&gt;0),Eventos!M$2:M$1000))"),"")</x:f>
        <x:v>#NAME?</x:v>
      </x:c>
      <x:c r="D112" s="2" t="e">
        <x:f>IFERROR(__xludf.DUMMYFUNCTION("IF(A112="""","""",SUMPRODUCT(--(LEFT(TO_TEXT(Eventos!B$2:B$1000),10)=A112),Eventos!N$2:N$1000))"),"")</x:f>
        <x:v>#NAME?</x:v>
      </x:c>
      <x:c r="E112" s="2" t="str">
        <x:f t="shared" si="2"/>
      </x:c>
      <x:c r="F112" s="2" t="str">
        <x:f t="shared" si="5"/>
      </x:c>
    </x:row>
    <x:row r="113">
      <x:c r="A113" s="2" t="str">
        <x:f t="shared" si="4"/>
      </x:c>
      <x:c r="B113" s="2" t="e">
        <x:f>IFERROR(__xludf.DUMMYFUNCTION("IF(A113="""","""",SUMPRODUCT(--(LEFT(TO_TEXT(Eventos!B$2:B$1000),10)=A113),--(Eventos!N$2:N$1000&lt;&gt;0),Eventos!I$2:I$1000))"),"")</x:f>
        <x:v>#NAME?</x:v>
      </x:c>
      <x:c r="C113" s="2" t="e">
        <x:f>IFERROR(__xludf.DUMMYFUNCTION("IF(A113="""","""",SUMPRODUCT(--(LEFT(TO_TEXT(Eventos!B$2:B$1000),10)=A113),--(Eventos!N$2:N$1000&lt;&gt;0),Eventos!M$2:M$1000))"),"")</x:f>
        <x:v>#NAME?</x:v>
      </x:c>
      <x:c r="D113" s="2" t="e">
        <x:f>IFERROR(__xludf.DUMMYFUNCTION("IF(A113="""","""",SUMPRODUCT(--(LEFT(TO_TEXT(Eventos!B$2:B$1000),10)=A113),Eventos!N$2:N$1000))"),"")</x:f>
        <x:v>#NAME?</x:v>
      </x:c>
      <x:c r="E113" s="2" t="str">
        <x:f t="shared" si="2"/>
      </x:c>
      <x:c r="F113" s="2" t="str">
        <x:f t="shared" si="5"/>
      </x:c>
    </x:row>
    <x:row r="114">
      <x:c r="A114" s="2" t="str">
        <x:f t="shared" si="4"/>
      </x:c>
      <x:c r="B114" s="2" t="e">
        <x:f>IFERROR(__xludf.DUMMYFUNCTION("IF(A114="""","""",SUMPRODUCT(--(LEFT(TO_TEXT(Eventos!B$2:B$1000),10)=A114),--(Eventos!N$2:N$1000&lt;&gt;0),Eventos!I$2:I$1000))"),"")</x:f>
        <x:v>#NAME?</x:v>
      </x:c>
      <x:c r="C114" s="2" t="e">
        <x:f>IFERROR(__xludf.DUMMYFUNCTION("IF(A114="""","""",SUMPRODUCT(--(LEFT(TO_TEXT(Eventos!B$2:B$1000),10)=A114),--(Eventos!N$2:N$1000&lt;&gt;0),Eventos!M$2:M$1000))"),"")</x:f>
        <x:v>#NAME?</x:v>
      </x:c>
      <x:c r="D114" s="2" t="e">
        <x:f>IFERROR(__xludf.DUMMYFUNCTION("IF(A114="""","""",SUMPRODUCT(--(LEFT(TO_TEXT(Eventos!B$2:B$1000),10)=A114),Eventos!N$2:N$1000))"),"")</x:f>
        <x:v>#NAME?</x:v>
      </x:c>
      <x:c r="E114" s="2" t="str">
        <x:f t="shared" si="2"/>
      </x:c>
      <x:c r="F114" s="2" t="str">
        <x:f t="shared" si="5"/>
      </x:c>
    </x:row>
    <x:row r="115">
      <x:c r="A115" s="2" t="str">
        <x:f t="shared" si="4"/>
      </x:c>
      <x:c r="B115" s="2" t="e">
        <x:f>IFERROR(__xludf.DUMMYFUNCTION("IF(A115="""","""",SUMPRODUCT(--(LEFT(TO_TEXT(Eventos!B$2:B$1000),10)=A115),--(Eventos!N$2:N$1000&lt;&gt;0),Eventos!I$2:I$1000))"),"")</x:f>
        <x:v>#NAME?</x:v>
      </x:c>
      <x:c r="C115" s="2" t="e">
        <x:f>IFERROR(__xludf.DUMMYFUNCTION("IF(A115="""","""",SUMPRODUCT(--(LEFT(TO_TEXT(Eventos!B$2:B$1000),10)=A115),--(Eventos!N$2:N$1000&lt;&gt;0),Eventos!M$2:M$1000))"),"")</x:f>
        <x:v>#NAME?</x:v>
      </x:c>
      <x:c r="D115" s="2" t="e">
        <x:f>IFERROR(__xludf.DUMMYFUNCTION("IF(A115="""","""",SUMPRODUCT(--(LEFT(TO_TEXT(Eventos!B$2:B$1000),10)=A115),Eventos!N$2:N$1000))"),"")</x:f>
        <x:v>#NAME?</x:v>
      </x:c>
      <x:c r="E115" s="2" t="str">
        <x:f t="shared" si="2"/>
      </x:c>
      <x:c r="F115" s="2" t="str">
        <x:f t="shared" si="5"/>
      </x:c>
    </x:row>
    <x:row r="116">
      <x:c r="A116" s="2" t="str">
        <x:f t="shared" si="4"/>
      </x:c>
      <x:c r="B116" s="2" t="e">
        <x:f>IFERROR(__xludf.DUMMYFUNCTION("IF(A116="""","""",SUMPRODUCT(--(LEFT(TO_TEXT(Eventos!B$2:B$1000),10)=A116),--(Eventos!N$2:N$1000&lt;&gt;0),Eventos!I$2:I$1000))"),"")</x:f>
        <x:v>#NAME?</x:v>
      </x:c>
      <x:c r="C116" s="2" t="e">
        <x:f>IFERROR(__xludf.DUMMYFUNCTION("IF(A116="""","""",SUMPRODUCT(--(LEFT(TO_TEXT(Eventos!B$2:B$1000),10)=A116),--(Eventos!N$2:N$1000&lt;&gt;0),Eventos!M$2:M$1000))"),"")</x:f>
        <x:v>#NAME?</x:v>
      </x:c>
      <x:c r="D116" s="2" t="e">
        <x:f>IFERROR(__xludf.DUMMYFUNCTION("IF(A116="""","""",SUMPRODUCT(--(LEFT(TO_TEXT(Eventos!B$2:B$1000),10)=A116),Eventos!N$2:N$1000))"),"")</x:f>
        <x:v>#NAME?</x:v>
      </x:c>
      <x:c r="E116" s="2" t="str">
        <x:f t="shared" si="2"/>
      </x:c>
      <x:c r="F116" s="2" t="str">
        <x:f t="shared" si="5"/>
      </x:c>
    </x:row>
    <x:row r="117">
      <x:c r="A117" s="2" t="str">
        <x:f t="shared" si="4"/>
      </x:c>
      <x:c r="B117" s="2" t="e">
        <x:f>IFERROR(__xludf.DUMMYFUNCTION("IF(A117="""","""",SUMPRODUCT(--(LEFT(TO_TEXT(Eventos!B$2:B$1000),10)=A117),--(Eventos!N$2:N$1000&lt;&gt;0),Eventos!I$2:I$1000))"),"")</x:f>
        <x:v>#NAME?</x:v>
      </x:c>
      <x:c r="C117" s="2" t="e">
        <x:f>IFERROR(__xludf.DUMMYFUNCTION("IF(A117="""","""",SUMPRODUCT(--(LEFT(TO_TEXT(Eventos!B$2:B$1000),10)=A117),--(Eventos!N$2:N$1000&lt;&gt;0),Eventos!M$2:M$1000))"),"")</x:f>
        <x:v>#NAME?</x:v>
      </x:c>
      <x:c r="D117" s="2" t="e">
        <x:f>IFERROR(__xludf.DUMMYFUNCTION("IF(A117="""","""",SUMPRODUCT(--(LEFT(TO_TEXT(Eventos!B$2:B$1000),10)=A117),Eventos!N$2:N$1000))"),"")</x:f>
        <x:v>#NAME?</x:v>
      </x:c>
      <x:c r="E117" s="2" t="str">
        <x:f t="shared" si="2"/>
      </x:c>
      <x:c r="F117" s="2" t="str">
        <x:f t="shared" si="5"/>
      </x:c>
    </x:row>
    <x:row r="118">
      <x:c r="A118" s="2" t="str">
        <x:f t="shared" si="4"/>
      </x:c>
      <x:c r="B118" s="2" t="e">
        <x:f>IFERROR(__xludf.DUMMYFUNCTION("IF(A118="""","""",SUMPRODUCT(--(LEFT(TO_TEXT(Eventos!B$2:B$1000),10)=A118),--(Eventos!N$2:N$1000&lt;&gt;0),Eventos!I$2:I$1000))"),"")</x:f>
        <x:v>#NAME?</x:v>
      </x:c>
      <x:c r="C118" s="2" t="e">
        <x:f>IFERROR(__xludf.DUMMYFUNCTION("IF(A118="""","""",SUMPRODUCT(--(LEFT(TO_TEXT(Eventos!B$2:B$1000),10)=A118),--(Eventos!N$2:N$1000&lt;&gt;0),Eventos!M$2:M$1000))"),"")</x:f>
        <x:v>#NAME?</x:v>
      </x:c>
      <x:c r="D118" s="2" t="e">
        <x:f>IFERROR(__xludf.DUMMYFUNCTION("IF(A118="""","""",SUMPRODUCT(--(LEFT(TO_TEXT(Eventos!B$2:B$1000),10)=A118),Eventos!N$2:N$1000))"),"")</x:f>
        <x:v>#NAME?</x:v>
      </x:c>
      <x:c r="E118" s="2" t="str">
        <x:f t="shared" si="2"/>
      </x:c>
      <x:c r="F118" s="2" t="str">
        <x:f t="shared" si="5"/>
      </x:c>
    </x:row>
    <x:row r="119">
      <x:c r="A119" s="2" t="str">
        <x:f t="shared" si="4"/>
      </x:c>
      <x:c r="B119" s="2" t="e">
        <x:f>IFERROR(__xludf.DUMMYFUNCTION("IF(A119="""","""",SUMPRODUCT(--(LEFT(TO_TEXT(Eventos!B$2:B$1000),10)=A119),--(Eventos!N$2:N$1000&lt;&gt;0),Eventos!I$2:I$1000))"),"")</x:f>
        <x:v>#NAME?</x:v>
      </x:c>
      <x:c r="C119" s="2" t="e">
        <x:f>IFERROR(__xludf.DUMMYFUNCTION("IF(A119="""","""",SUMPRODUCT(--(LEFT(TO_TEXT(Eventos!B$2:B$1000),10)=A119),--(Eventos!N$2:N$1000&lt;&gt;0),Eventos!M$2:M$1000))"),"")</x:f>
        <x:v>#NAME?</x:v>
      </x:c>
      <x:c r="D119" s="2" t="e">
        <x:f>IFERROR(__xludf.DUMMYFUNCTION("IF(A119="""","""",SUMPRODUCT(--(LEFT(TO_TEXT(Eventos!B$2:B$1000),10)=A119),Eventos!N$2:N$1000))"),"")</x:f>
        <x:v>#NAME?</x:v>
      </x:c>
      <x:c r="E119" s="2" t="str">
        <x:f t="shared" si="2"/>
      </x:c>
      <x:c r="F119" s="2" t="str">
        <x:f t="shared" si="5"/>
      </x:c>
    </x:row>
    <x:row r="120">
      <x:c r="A120" s="2" t="str">
        <x:f t="shared" si="4"/>
      </x:c>
      <x:c r="B120" s="2" t="e">
        <x:f>IFERROR(__xludf.DUMMYFUNCTION("IF(A120="""","""",SUMPRODUCT(--(LEFT(TO_TEXT(Eventos!B$2:B$1000),10)=A120),--(Eventos!N$2:N$1000&lt;&gt;0),Eventos!I$2:I$1000))"),"")</x:f>
        <x:v>#NAME?</x:v>
      </x:c>
      <x:c r="C120" s="2" t="e">
        <x:f>IFERROR(__xludf.DUMMYFUNCTION("IF(A120="""","""",SUMPRODUCT(--(LEFT(TO_TEXT(Eventos!B$2:B$1000),10)=A120),--(Eventos!N$2:N$1000&lt;&gt;0),Eventos!M$2:M$1000))"),"")</x:f>
        <x:v>#NAME?</x:v>
      </x:c>
      <x:c r="D120" s="2" t="e">
        <x:f>IFERROR(__xludf.DUMMYFUNCTION("IF(A120="""","""",SUMPRODUCT(--(LEFT(TO_TEXT(Eventos!B$2:B$1000),10)=A120),Eventos!N$2:N$1000))"),"")</x:f>
        <x:v>#NAME?</x:v>
      </x:c>
      <x:c r="E120" s="2" t="str">
        <x:f t="shared" si="2"/>
      </x:c>
      <x:c r="F120" s="2" t="str">
        <x:f t="shared" si="5"/>
      </x:c>
    </x:row>
    <x:row r="121">
      <x:c r="A121" s="2" t="str">
        <x:f t="shared" si="4"/>
      </x:c>
      <x:c r="B121" s="2" t="e">
        <x:f>IFERROR(__xludf.DUMMYFUNCTION("IF(A121="""","""",SUMPRODUCT(--(LEFT(TO_TEXT(Eventos!B$2:B$1000),10)=A121),--(Eventos!N$2:N$1000&lt;&gt;0),Eventos!I$2:I$1000))"),"")</x:f>
        <x:v>#NAME?</x:v>
      </x:c>
      <x:c r="C121" s="2" t="e">
        <x:f>IFERROR(__xludf.DUMMYFUNCTION("IF(A121="""","""",SUMPRODUCT(--(LEFT(TO_TEXT(Eventos!B$2:B$1000),10)=A121),--(Eventos!N$2:N$1000&lt;&gt;0),Eventos!M$2:M$1000))"),"")</x:f>
        <x:v>#NAME?</x:v>
      </x:c>
      <x:c r="D121" s="2" t="e">
        <x:f>IFERROR(__xludf.DUMMYFUNCTION("IF(A121="""","""",SUMPRODUCT(--(LEFT(TO_TEXT(Eventos!B$2:B$1000),10)=A121),Eventos!N$2:N$1000))"),"")</x:f>
        <x:v>#NAME?</x:v>
      </x:c>
      <x:c r="E121" s="2" t="str">
        <x:f t="shared" si="2"/>
      </x:c>
      <x:c r="F121" s="2" t="str">
        <x:f t="shared" si="5"/>
      </x:c>
    </x:row>
    <x:row r="122">
      <x:c r="A122" s="2" t="str">
        <x:f t="shared" si="4"/>
      </x:c>
      <x:c r="B122" s="2" t="e">
        <x:f>IFERROR(__xludf.DUMMYFUNCTION("IF(A122="""","""",SUMPRODUCT(--(LEFT(TO_TEXT(Eventos!B$2:B$1000),10)=A122),--(Eventos!N$2:N$1000&lt;&gt;0),Eventos!I$2:I$1000))"),"")</x:f>
        <x:v>#NAME?</x:v>
      </x:c>
      <x:c r="C122" s="2" t="e">
        <x:f>IFERROR(__xludf.DUMMYFUNCTION("IF(A122="""","""",SUMPRODUCT(--(LEFT(TO_TEXT(Eventos!B$2:B$1000),10)=A122),--(Eventos!N$2:N$1000&lt;&gt;0),Eventos!M$2:M$1000))"),"")</x:f>
        <x:v>#NAME?</x:v>
      </x:c>
      <x:c r="D122" s="2" t="e">
        <x:f>IFERROR(__xludf.DUMMYFUNCTION("IF(A122="""","""",SUMPRODUCT(--(LEFT(TO_TEXT(Eventos!B$2:B$1000),10)=A122),Eventos!N$2:N$1000))"),"")</x:f>
        <x:v>#NAME?</x:v>
      </x:c>
      <x:c r="E122" s="2" t="str">
        <x:f t="shared" si="2"/>
      </x:c>
      <x:c r="F122" s="2" t="str">
        <x:f t="shared" si="5"/>
      </x:c>
    </x:row>
    <x:row r="123">
      <x:c r="A123" s="2" t="str">
        <x:f t="shared" si="4"/>
      </x:c>
      <x:c r="B123" s="2" t="e">
        <x:f>IFERROR(__xludf.DUMMYFUNCTION("IF(A123="""","""",SUMPRODUCT(--(LEFT(TO_TEXT(Eventos!B$2:B$1000),10)=A123),--(Eventos!N$2:N$1000&lt;&gt;0),Eventos!I$2:I$1000))"),"")</x:f>
        <x:v>#NAME?</x:v>
      </x:c>
      <x:c r="C123" s="2" t="e">
        <x:f>IFERROR(__xludf.DUMMYFUNCTION("IF(A123="""","""",SUMPRODUCT(--(LEFT(TO_TEXT(Eventos!B$2:B$1000),10)=A123),--(Eventos!N$2:N$1000&lt;&gt;0),Eventos!M$2:M$1000))"),"")</x:f>
        <x:v>#NAME?</x:v>
      </x:c>
      <x:c r="D123" s="2" t="e">
        <x:f>IFERROR(__xludf.DUMMYFUNCTION("IF(A123="""","""",SUMPRODUCT(--(LEFT(TO_TEXT(Eventos!B$2:B$1000),10)=A123),Eventos!N$2:N$1000))"),"")</x:f>
        <x:v>#NAME?</x:v>
      </x:c>
      <x:c r="E123" s="2" t="str">
        <x:f t="shared" si="2"/>
      </x:c>
      <x:c r="F123" s="2" t="str">
        <x:f t="shared" si="5"/>
      </x:c>
    </x:row>
    <x:row r="124">
      <x:c r="A124" s="2" t="str">
        <x:f t="shared" si="4"/>
      </x:c>
      <x:c r="B124" s="2" t="e">
        <x:f>IFERROR(__xludf.DUMMYFUNCTION("IF(A124="""","""",SUMPRODUCT(--(LEFT(TO_TEXT(Eventos!B$2:B$1000),10)=A124),--(Eventos!N$2:N$1000&lt;&gt;0),Eventos!I$2:I$1000))"),"")</x:f>
        <x:v>#NAME?</x:v>
      </x:c>
      <x:c r="C124" s="2" t="e">
        <x:f>IFERROR(__xludf.DUMMYFUNCTION("IF(A124="""","""",SUMPRODUCT(--(LEFT(TO_TEXT(Eventos!B$2:B$1000),10)=A124),--(Eventos!N$2:N$1000&lt;&gt;0),Eventos!M$2:M$1000))"),"")</x:f>
        <x:v>#NAME?</x:v>
      </x:c>
      <x:c r="D124" s="2" t="e">
        <x:f>IFERROR(__xludf.DUMMYFUNCTION("IF(A124="""","""",SUMPRODUCT(--(LEFT(TO_TEXT(Eventos!B$2:B$1000),10)=A124),Eventos!N$2:N$1000))"),"")</x:f>
        <x:v>#NAME?</x:v>
      </x:c>
      <x:c r="E124" s="2" t="str">
        <x:f t="shared" si="2"/>
      </x:c>
      <x:c r="F124" s="2" t="str">
        <x:f t="shared" si="5"/>
      </x:c>
    </x:row>
    <x:row r="125">
      <x:c r="A125" s="2" t="str">
        <x:f t="shared" si="4"/>
      </x:c>
      <x:c r="B125" s="2" t="e">
        <x:f>IFERROR(__xludf.DUMMYFUNCTION("IF(A125="""","""",SUMPRODUCT(--(LEFT(TO_TEXT(Eventos!B$2:B$1000),10)=A125),--(Eventos!N$2:N$1000&lt;&gt;0),Eventos!I$2:I$1000))"),"")</x:f>
        <x:v>#NAME?</x:v>
      </x:c>
      <x:c r="C125" s="2" t="e">
        <x:f>IFERROR(__xludf.DUMMYFUNCTION("IF(A125="""","""",SUMPRODUCT(--(LEFT(TO_TEXT(Eventos!B$2:B$1000),10)=A125),--(Eventos!N$2:N$1000&lt;&gt;0),Eventos!M$2:M$1000))"),"")</x:f>
        <x:v>#NAME?</x:v>
      </x:c>
      <x:c r="D125" s="2" t="e">
        <x:f>IFERROR(__xludf.DUMMYFUNCTION("IF(A125="""","""",SUMPRODUCT(--(LEFT(TO_TEXT(Eventos!B$2:B$1000),10)=A125),Eventos!N$2:N$1000))"),"")</x:f>
        <x:v>#NAME?</x:v>
      </x:c>
      <x:c r="E125" s="2" t="str">
        <x:f t="shared" si="2"/>
      </x:c>
      <x:c r="F125" s="2" t="str">
        <x:f t="shared" si="5"/>
      </x:c>
    </x:row>
    <x:row r="126">
      <x:c r="A126" s="2" t="str">
        <x:f t="shared" si="4"/>
      </x:c>
      <x:c r="B126" s="2" t="e">
        <x:f>IFERROR(__xludf.DUMMYFUNCTION("IF(A126="""","""",SUMPRODUCT(--(LEFT(TO_TEXT(Eventos!B$2:B$1000),10)=A126),--(Eventos!N$2:N$1000&lt;&gt;0),Eventos!I$2:I$1000))"),"")</x:f>
        <x:v>#NAME?</x:v>
      </x:c>
      <x:c r="C126" s="2" t="e">
        <x:f>IFERROR(__xludf.DUMMYFUNCTION("IF(A126="""","""",SUMPRODUCT(--(LEFT(TO_TEXT(Eventos!B$2:B$1000),10)=A126),--(Eventos!N$2:N$1000&lt;&gt;0),Eventos!M$2:M$1000))"),"")</x:f>
        <x:v>#NAME?</x:v>
      </x:c>
      <x:c r="D126" s="2" t="e">
        <x:f>IFERROR(__xludf.DUMMYFUNCTION("IF(A126="""","""",SUMPRODUCT(--(LEFT(TO_TEXT(Eventos!B$2:B$1000),10)=A126),Eventos!N$2:N$1000))"),"")</x:f>
        <x:v>#NAME?</x:v>
      </x:c>
      <x:c r="E126" s="2" t="str">
        <x:f t="shared" si="2"/>
      </x:c>
      <x:c r="F126" s="2" t="str">
        <x:f t="shared" si="5"/>
      </x:c>
    </x:row>
    <x:row r="127">
      <x:c r="A127" s="2" t="str">
        <x:f t="shared" si="4"/>
      </x:c>
      <x:c r="B127" s="2" t="e">
        <x:f>IFERROR(__xludf.DUMMYFUNCTION("IF(A127="""","""",SUMPRODUCT(--(LEFT(TO_TEXT(Eventos!B$2:B$1000),10)=A127),--(Eventos!N$2:N$1000&lt;&gt;0),Eventos!I$2:I$1000))"),"")</x:f>
        <x:v>#NAME?</x:v>
      </x:c>
      <x:c r="C127" s="2" t="e">
        <x:f>IFERROR(__xludf.DUMMYFUNCTION("IF(A127="""","""",SUMPRODUCT(--(LEFT(TO_TEXT(Eventos!B$2:B$1000),10)=A127),--(Eventos!N$2:N$1000&lt;&gt;0),Eventos!M$2:M$1000))"),"")</x:f>
        <x:v>#NAME?</x:v>
      </x:c>
      <x:c r="D127" s="2" t="e">
        <x:f>IFERROR(__xludf.DUMMYFUNCTION("IF(A127="""","""",SUMPRODUCT(--(LEFT(TO_TEXT(Eventos!B$2:B$1000),10)=A127),Eventos!N$2:N$1000))"),"")</x:f>
        <x:v>#NAME?</x:v>
      </x:c>
      <x:c r="E127" s="2" t="str">
        <x:f t="shared" si="2"/>
      </x:c>
      <x:c r="F127" s="2" t="str">
        <x:f t="shared" si="5"/>
      </x:c>
    </x:row>
    <x:row r="128">
      <x:c r="A128" s="2" t="str">
        <x:f t="shared" si="4"/>
      </x:c>
      <x:c r="B128" s="2" t="e">
        <x:f>IFERROR(__xludf.DUMMYFUNCTION("IF(A128="""","""",SUMPRODUCT(--(LEFT(TO_TEXT(Eventos!B$2:B$1000),10)=A128),--(Eventos!N$2:N$1000&lt;&gt;0),Eventos!I$2:I$1000))"),"")</x:f>
        <x:v>#NAME?</x:v>
      </x:c>
      <x:c r="C128" s="2" t="e">
        <x:f>IFERROR(__xludf.DUMMYFUNCTION("IF(A128="""","""",SUMPRODUCT(--(LEFT(TO_TEXT(Eventos!B$2:B$1000),10)=A128),--(Eventos!N$2:N$1000&lt;&gt;0),Eventos!M$2:M$1000))"),"")</x:f>
        <x:v>#NAME?</x:v>
      </x:c>
      <x:c r="D128" s="2" t="e">
        <x:f>IFERROR(__xludf.DUMMYFUNCTION("IF(A128="""","""",SUMPRODUCT(--(LEFT(TO_TEXT(Eventos!B$2:B$1000),10)=A128),Eventos!N$2:N$1000))"),"")</x:f>
        <x:v>#NAME?</x:v>
      </x:c>
      <x:c r="E128" s="2" t="str">
        <x:f t="shared" si="2"/>
      </x:c>
      <x:c r="F128" s="2" t="str">
        <x:f t="shared" si="5"/>
      </x:c>
    </x:row>
    <x:row r="129">
      <x:c r="A129" s="2" t="str">
        <x:f t="shared" si="4"/>
      </x:c>
      <x:c r="B129" s="2" t="e">
        <x:f>IFERROR(__xludf.DUMMYFUNCTION("IF(A129="""","""",SUMPRODUCT(--(LEFT(TO_TEXT(Eventos!B$2:B$1000),10)=A129),--(Eventos!N$2:N$1000&lt;&gt;0),Eventos!I$2:I$1000))"),"")</x:f>
        <x:v>#NAME?</x:v>
      </x:c>
      <x:c r="C129" s="2" t="e">
        <x:f>IFERROR(__xludf.DUMMYFUNCTION("IF(A129="""","""",SUMPRODUCT(--(LEFT(TO_TEXT(Eventos!B$2:B$1000),10)=A129),--(Eventos!N$2:N$1000&lt;&gt;0),Eventos!M$2:M$1000))"),"")</x:f>
        <x:v>#NAME?</x:v>
      </x:c>
      <x:c r="D129" s="2" t="e">
        <x:f>IFERROR(__xludf.DUMMYFUNCTION("IF(A129="""","""",SUMPRODUCT(--(LEFT(TO_TEXT(Eventos!B$2:B$1000),10)=A129),Eventos!N$2:N$1000))"),"")</x:f>
        <x:v>#NAME?</x:v>
      </x:c>
      <x:c r="E129" s="2" t="str">
        <x:f t="shared" si="2"/>
      </x:c>
      <x:c r="F129" s="2" t="str">
        <x:f t="shared" si="5"/>
      </x:c>
    </x:row>
    <x:row r="130">
      <x:c r="A130" s="2" t="str">
        <x:f t="shared" si="4"/>
      </x:c>
      <x:c r="B130" s="2" t="e">
        <x:f>IFERROR(__xludf.DUMMYFUNCTION("IF(A130="""","""",SUMPRODUCT(--(LEFT(TO_TEXT(Eventos!B$2:B$1000),10)=A130),--(Eventos!N$2:N$1000&lt;&gt;0),Eventos!I$2:I$1000))"),"")</x:f>
        <x:v>#NAME?</x:v>
      </x:c>
      <x:c r="C130" s="2" t="e">
        <x:f>IFERROR(__xludf.DUMMYFUNCTION("IF(A130="""","""",SUMPRODUCT(--(LEFT(TO_TEXT(Eventos!B$2:B$1000),10)=A130),--(Eventos!N$2:N$1000&lt;&gt;0),Eventos!M$2:M$1000))"),"")</x:f>
        <x:v>#NAME?</x:v>
      </x:c>
      <x:c r="D130" s="2" t="e">
        <x:f>IFERROR(__xludf.DUMMYFUNCTION("IF(A130="""","""",SUMPRODUCT(--(LEFT(TO_TEXT(Eventos!B$2:B$1000),10)=A130),Eventos!N$2:N$1000))"),"")</x:f>
        <x:v>#NAME?</x:v>
      </x:c>
      <x:c r="E130" s="2" t="str">
        <x:f t="shared" si="2"/>
      </x:c>
      <x:c r="F130" s="2" t="str">
        <x:f t="shared" si="5"/>
      </x:c>
    </x:row>
    <x:row r="131">
      <x:c r="A131" s="2" t="str">
        <x:f t="shared" si="4"/>
      </x:c>
      <x:c r="B131" s="2" t="e">
        <x:f>IFERROR(__xludf.DUMMYFUNCTION("IF(A131="""","""",SUMPRODUCT(--(LEFT(TO_TEXT(Eventos!B$2:B$1000),10)=A131),--(Eventos!N$2:N$1000&lt;&gt;0),Eventos!I$2:I$1000))"),"")</x:f>
        <x:v>#NAME?</x:v>
      </x:c>
      <x:c r="C131" s="2" t="e">
        <x:f>IFERROR(__xludf.DUMMYFUNCTION("IF(A131="""","""",SUMPRODUCT(--(LEFT(TO_TEXT(Eventos!B$2:B$1000),10)=A131),--(Eventos!N$2:N$1000&lt;&gt;0),Eventos!M$2:M$1000))"),"")</x:f>
        <x:v>#NAME?</x:v>
      </x:c>
      <x:c r="D131" s="2" t="e">
        <x:f>IFERROR(__xludf.DUMMYFUNCTION("IF(A131="""","""",SUMPRODUCT(--(LEFT(TO_TEXT(Eventos!B$2:B$1000),10)=A131),Eventos!N$2:N$1000))"),"")</x:f>
        <x:v>#NAME?</x:v>
      </x:c>
      <x:c r="E131" s="2" t="str">
        <x:f t="shared" si="2"/>
      </x:c>
      <x:c r="F131" s="2" t="str">
        <x:f t="shared" si="5"/>
      </x:c>
    </x:row>
    <x:row r="132">
      <x:c r="A132" s="2" t="str">
        <x:f t="shared" si="4"/>
      </x:c>
      <x:c r="B132" s="2" t="e">
        <x:f>IFERROR(__xludf.DUMMYFUNCTION("IF(A132="""","""",SUMPRODUCT(--(LEFT(TO_TEXT(Eventos!B$2:B$1000),10)=A132),--(Eventos!N$2:N$1000&lt;&gt;0),Eventos!I$2:I$1000))"),"")</x:f>
        <x:v>#NAME?</x:v>
      </x:c>
      <x:c r="C132" s="2" t="e">
        <x:f>IFERROR(__xludf.DUMMYFUNCTION("IF(A132="""","""",SUMPRODUCT(--(LEFT(TO_TEXT(Eventos!B$2:B$1000),10)=A132),--(Eventos!N$2:N$1000&lt;&gt;0),Eventos!M$2:M$1000))"),"")</x:f>
        <x:v>#NAME?</x:v>
      </x:c>
      <x:c r="D132" s="2" t="e">
        <x:f>IFERROR(__xludf.DUMMYFUNCTION("IF(A132="""","""",SUMPRODUCT(--(LEFT(TO_TEXT(Eventos!B$2:B$1000),10)=A132),Eventos!N$2:N$1000))"),"")</x:f>
        <x:v>#NAME?</x:v>
      </x:c>
      <x:c r="E132" s="2" t="str">
        <x:f t="shared" si="2"/>
      </x:c>
      <x:c r="F132" s="2" t="str">
        <x:f t="shared" si="5"/>
      </x:c>
    </x:row>
    <x:row r="133">
      <x:c r="A133" s="2" t="str">
        <x:f t="shared" si="4"/>
      </x:c>
      <x:c r="B133" s="2" t="e">
        <x:f>IFERROR(__xludf.DUMMYFUNCTION("IF(A133="""","""",SUMPRODUCT(--(LEFT(TO_TEXT(Eventos!B$2:B$1000),10)=A133),--(Eventos!N$2:N$1000&lt;&gt;0),Eventos!I$2:I$1000))"),"")</x:f>
        <x:v>#NAME?</x:v>
      </x:c>
      <x:c r="C133" s="2" t="e">
        <x:f>IFERROR(__xludf.DUMMYFUNCTION("IF(A133="""","""",SUMPRODUCT(--(LEFT(TO_TEXT(Eventos!B$2:B$1000),10)=A133),--(Eventos!N$2:N$1000&lt;&gt;0),Eventos!M$2:M$1000))"),"")</x:f>
        <x:v>#NAME?</x:v>
      </x:c>
      <x:c r="D133" s="2" t="e">
        <x:f>IFERROR(__xludf.DUMMYFUNCTION("IF(A133="""","""",SUMPRODUCT(--(LEFT(TO_TEXT(Eventos!B$2:B$1000),10)=A133),Eventos!N$2:N$1000))"),"")</x:f>
        <x:v>#NAME?</x:v>
      </x:c>
      <x:c r="E133" s="2" t="str">
        <x:f t="shared" si="2"/>
      </x:c>
      <x:c r="F133" s="2" t="str">
        <x:f t="shared" si="5"/>
      </x:c>
    </x:row>
    <x:row r="134">
      <x:c r="A134" s="2" t="str">
        <x:f t="shared" si="4"/>
      </x:c>
      <x:c r="B134" s="2" t="e">
        <x:f>IFERROR(__xludf.DUMMYFUNCTION("IF(A134="""","""",SUMPRODUCT(--(LEFT(TO_TEXT(Eventos!B$2:B$1000),10)=A134),--(Eventos!N$2:N$1000&lt;&gt;0),Eventos!I$2:I$1000))"),"")</x:f>
        <x:v>#NAME?</x:v>
      </x:c>
      <x:c r="C134" s="2" t="e">
        <x:f>IFERROR(__xludf.DUMMYFUNCTION("IF(A134="""","""",SUMPRODUCT(--(LEFT(TO_TEXT(Eventos!B$2:B$1000),10)=A134),--(Eventos!N$2:N$1000&lt;&gt;0),Eventos!M$2:M$1000))"),"")</x:f>
        <x:v>#NAME?</x:v>
      </x:c>
      <x:c r="D134" s="2" t="e">
        <x:f>IFERROR(__xludf.DUMMYFUNCTION("IF(A134="""","""",SUMPRODUCT(--(LEFT(TO_TEXT(Eventos!B$2:B$1000),10)=A134),Eventos!N$2:N$1000))"),"")</x:f>
        <x:v>#NAME?</x:v>
      </x:c>
      <x:c r="E134" s="2" t="str">
        <x:f t="shared" si="2"/>
      </x:c>
      <x:c r="F134" s="2" t="str">
        <x:f t="shared" si="5"/>
      </x:c>
    </x:row>
    <x:row r="135">
      <x:c r="A135" s="2" t="str">
        <x:f t="shared" si="4"/>
      </x:c>
      <x:c r="B135" s="2" t="e">
        <x:f>IFERROR(__xludf.DUMMYFUNCTION("IF(A135="""","""",SUMPRODUCT(--(LEFT(TO_TEXT(Eventos!B$2:B$1000),10)=A135),--(Eventos!N$2:N$1000&lt;&gt;0),Eventos!I$2:I$1000))"),"")</x:f>
        <x:v>#NAME?</x:v>
      </x:c>
      <x:c r="C135" s="2" t="e">
        <x:f>IFERROR(__xludf.DUMMYFUNCTION("IF(A135="""","""",SUMPRODUCT(--(LEFT(TO_TEXT(Eventos!B$2:B$1000),10)=A135),--(Eventos!N$2:N$1000&lt;&gt;0),Eventos!M$2:M$1000))"),"")</x:f>
        <x:v>#NAME?</x:v>
      </x:c>
      <x:c r="D135" s="2" t="e">
        <x:f>IFERROR(__xludf.DUMMYFUNCTION("IF(A135="""","""",SUMPRODUCT(--(LEFT(TO_TEXT(Eventos!B$2:B$1000),10)=A135),Eventos!N$2:N$1000))"),"")</x:f>
        <x:v>#NAME?</x:v>
      </x:c>
      <x:c r="E135" s="2" t="str">
        <x:f t="shared" si="2"/>
      </x:c>
      <x:c r="F135" s="2" t="str">
        <x:f t="shared" si="5"/>
      </x:c>
    </x:row>
    <x:row r="136">
      <x:c r="A136" s="2" t="str">
        <x:f t="shared" si="4"/>
      </x:c>
      <x:c r="B136" s="2" t="e">
        <x:f>IFERROR(__xludf.DUMMYFUNCTION("IF(A136="""","""",SUMPRODUCT(--(LEFT(TO_TEXT(Eventos!B$2:B$1000),10)=A136),--(Eventos!N$2:N$1000&lt;&gt;0),Eventos!I$2:I$1000))"),"")</x:f>
        <x:v>#NAME?</x:v>
      </x:c>
      <x:c r="C136" s="2" t="e">
        <x:f>IFERROR(__xludf.DUMMYFUNCTION("IF(A136="""","""",SUMPRODUCT(--(LEFT(TO_TEXT(Eventos!B$2:B$1000),10)=A136),--(Eventos!N$2:N$1000&lt;&gt;0),Eventos!M$2:M$1000))"),"")</x:f>
        <x:v>#NAME?</x:v>
      </x:c>
      <x:c r="D136" s="2" t="e">
        <x:f>IFERROR(__xludf.DUMMYFUNCTION("IF(A136="""","""",SUMPRODUCT(--(LEFT(TO_TEXT(Eventos!B$2:B$1000),10)=A136),Eventos!N$2:N$1000))"),"")</x:f>
        <x:v>#NAME?</x:v>
      </x:c>
      <x:c r="E136" s="2" t="str">
        <x:f t="shared" si="2"/>
      </x:c>
      <x:c r="F136" s="2" t="str">
        <x:f t="shared" si="5"/>
      </x:c>
    </x:row>
    <x:row r="137">
      <x:c r="A137" s="2" t="str">
        <x:f t="shared" si="4"/>
      </x:c>
      <x:c r="B137" s="2" t="e">
        <x:f>IFERROR(__xludf.DUMMYFUNCTION("IF(A137="""","""",SUMPRODUCT(--(LEFT(TO_TEXT(Eventos!B$2:B$1000),10)=A137),--(Eventos!N$2:N$1000&lt;&gt;0),Eventos!I$2:I$1000))"),"")</x:f>
        <x:v>#NAME?</x:v>
      </x:c>
      <x:c r="C137" s="2" t="e">
        <x:f>IFERROR(__xludf.DUMMYFUNCTION("IF(A137="""","""",SUMPRODUCT(--(LEFT(TO_TEXT(Eventos!B$2:B$1000),10)=A137),--(Eventos!N$2:N$1000&lt;&gt;0),Eventos!M$2:M$1000))"),"")</x:f>
        <x:v>#NAME?</x:v>
      </x:c>
      <x:c r="D137" s="2" t="e">
        <x:f>IFERROR(__xludf.DUMMYFUNCTION("IF(A137="""","""",SUMPRODUCT(--(LEFT(TO_TEXT(Eventos!B$2:B$1000),10)=A137),Eventos!N$2:N$1000))"),"")</x:f>
        <x:v>#NAME?</x:v>
      </x:c>
      <x:c r="E137" s="2" t="str">
        <x:f t="shared" si="2"/>
      </x:c>
      <x:c r="F137" s="2" t="str">
        <x:f t="shared" si="5"/>
      </x:c>
    </x:row>
    <x:row r="138">
      <x:c r="A138" s="2" t="str">
        <x:f t="shared" si="4"/>
      </x:c>
      <x:c r="B138" s="2" t="e">
        <x:f>IFERROR(__xludf.DUMMYFUNCTION("IF(A138="""","""",SUMPRODUCT(--(LEFT(TO_TEXT(Eventos!B$2:B$1000),10)=A138),--(Eventos!N$2:N$1000&lt;&gt;0),Eventos!I$2:I$1000))"),"")</x:f>
        <x:v>#NAME?</x:v>
      </x:c>
      <x:c r="C138" s="2" t="e">
        <x:f>IFERROR(__xludf.DUMMYFUNCTION("IF(A138="""","""",SUMPRODUCT(--(LEFT(TO_TEXT(Eventos!B$2:B$1000),10)=A138),--(Eventos!N$2:N$1000&lt;&gt;0),Eventos!M$2:M$1000))"),"")</x:f>
        <x:v>#NAME?</x:v>
      </x:c>
      <x:c r="D138" s="2" t="e">
        <x:f>IFERROR(__xludf.DUMMYFUNCTION("IF(A138="""","""",SUMPRODUCT(--(LEFT(TO_TEXT(Eventos!B$2:B$1000),10)=A138),Eventos!N$2:N$1000))"),"")</x:f>
        <x:v>#NAME?</x:v>
      </x:c>
      <x:c r="E138" s="2" t="str">
        <x:f t="shared" si="2"/>
      </x:c>
      <x:c r="F138" s="2" t="str">
        <x:f t="shared" si="5"/>
      </x:c>
    </x:row>
    <x:row r="139">
      <x:c r="A139" s="2" t="str">
        <x:f t="shared" si="4"/>
      </x:c>
      <x:c r="B139" s="2" t="e">
        <x:f>IFERROR(__xludf.DUMMYFUNCTION("IF(A139="""","""",SUMPRODUCT(--(LEFT(TO_TEXT(Eventos!B$2:B$1000),10)=A139),--(Eventos!N$2:N$1000&lt;&gt;0),Eventos!I$2:I$1000))"),"")</x:f>
        <x:v>#NAME?</x:v>
      </x:c>
      <x:c r="C139" s="2" t="e">
        <x:f>IFERROR(__xludf.DUMMYFUNCTION("IF(A139="""","""",SUMPRODUCT(--(LEFT(TO_TEXT(Eventos!B$2:B$1000),10)=A139),--(Eventos!N$2:N$1000&lt;&gt;0),Eventos!M$2:M$1000))"),"")</x:f>
        <x:v>#NAME?</x:v>
      </x:c>
      <x:c r="D139" s="2" t="e">
        <x:f>IFERROR(__xludf.DUMMYFUNCTION("IF(A139="""","""",SUMPRODUCT(--(LEFT(TO_TEXT(Eventos!B$2:B$1000),10)=A139),Eventos!N$2:N$1000))"),"")</x:f>
        <x:v>#NAME?</x:v>
      </x:c>
      <x:c r="E139" s="2" t="str">
        <x:f t="shared" si="2"/>
      </x:c>
      <x:c r="F139" s="2" t="str">
        <x:f t="shared" si="5"/>
      </x:c>
    </x:row>
    <x:row r="140">
      <x:c r="A140" s="2" t="str">
        <x:f t="shared" si="4"/>
      </x:c>
      <x:c r="B140" s="2" t="e">
        <x:f>IFERROR(__xludf.DUMMYFUNCTION("IF(A140="""","""",SUMPRODUCT(--(LEFT(TO_TEXT(Eventos!B$2:B$1000),10)=A140),--(Eventos!N$2:N$1000&lt;&gt;0),Eventos!I$2:I$1000))"),"")</x:f>
        <x:v>#NAME?</x:v>
      </x:c>
      <x:c r="C140" s="2" t="e">
        <x:f>IFERROR(__xludf.DUMMYFUNCTION("IF(A140="""","""",SUMPRODUCT(--(LEFT(TO_TEXT(Eventos!B$2:B$1000),10)=A140),--(Eventos!N$2:N$1000&lt;&gt;0),Eventos!M$2:M$1000))"),"")</x:f>
        <x:v>#NAME?</x:v>
      </x:c>
      <x:c r="D140" s="2" t="e">
        <x:f>IFERROR(__xludf.DUMMYFUNCTION("IF(A140="""","""",SUMPRODUCT(--(LEFT(TO_TEXT(Eventos!B$2:B$1000),10)=A140),Eventos!N$2:N$1000))"),"")</x:f>
        <x:v>#NAME?</x:v>
      </x:c>
      <x:c r="E140" s="2" t="str">
        <x:f t="shared" si="2"/>
      </x:c>
      <x:c r="F140" s="2" t="str">
        <x:f t="shared" si="5"/>
      </x:c>
    </x:row>
    <x:row r="141">
      <x:c r="A141" s="2" t="str">
        <x:f t="shared" si="4"/>
      </x:c>
      <x:c r="B141" s="2" t="e">
        <x:f>IFERROR(__xludf.DUMMYFUNCTION("IF(A141="""","""",SUMPRODUCT(--(LEFT(TO_TEXT(Eventos!B$2:B$1000),10)=A141),--(Eventos!N$2:N$1000&lt;&gt;0),Eventos!I$2:I$1000))"),"")</x:f>
        <x:v>#NAME?</x:v>
      </x:c>
      <x:c r="C141" s="2" t="e">
        <x:f>IFERROR(__xludf.DUMMYFUNCTION("IF(A141="""","""",SUMPRODUCT(--(LEFT(TO_TEXT(Eventos!B$2:B$1000),10)=A141),--(Eventos!N$2:N$1000&lt;&gt;0),Eventos!M$2:M$1000))"),"")</x:f>
        <x:v>#NAME?</x:v>
      </x:c>
      <x:c r="D141" s="2" t="e">
        <x:f>IFERROR(__xludf.DUMMYFUNCTION("IF(A141="""","""",SUMPRODUCT(--(LEFT(TO_TEXT(Eventos!B$2:B$1000),10)=A141),Eventos!N$2:N$1000))"),"")</x:f>
        <x:v>#NAME?</x:v>
      </x:c>
      <x:c r="E141" s="2" t="str">
        <x:f t="shared" si="2"/>
      </x:c>
      <x:c r="F141" s="2" t="str">
        <x:f t="shared" si="5"/>
      </x:c>
    </x:row>
    <x:row r="142">
      <x:c r="A142" s="2" t="str">
        <x:f t="shared" si="4"/>
      </x:c>
      <x:c r="B142" s="2" t="e">
        <x:f>IFERROR(__xludf.DUMMYFUNCTION("IF(A142="""","""",SUMPRODUCT(--(LEFT(TO_TEXT(Eventos!B$2:B$1000),10)=A142),--(Eventos!N$2:N$1000&lt;&gt;0),Eventos!I$2:I$1000))"),"")</x:f>
        <x:v>#NAME?</x:v>
      </x:c>
      <x:c r="C142" s="2" t="e">
        <x:f>IFERROR(__xludf.DUMMYFUNCTION("IF(A142="""","""",SUMPRODUCT(--(LEFT(TO_TEXT(Eventos!B$2:B$1000),10)=A142),--(Eventos!N$2:N$1000&lt;&gt;0),Eventos!M$2:M$1000))"),"")</x:f>
        <x:v>#NAME?</x:v>
      </x:c>
      <x:c r="D142" s="2" t="e">
        <x:f>IFERROR(__xludf.DUMMYFUNCTION("IF(A142="""","""",SUMPRODUCT(--(LEFT(TO_TEXT(Eventos!B$2:B$1000),10)=A142),Eventos!N$2:N$1000))"),"")</x:f>
        <x:v>#NAME?</x:v>
      </x:c>
      <x:c r="E142" s="2" t="str">
        <x:f t="shared" si="2"/>
      </x:c>
      <x:c r="F142" s="2" t="str">
        <x:f t="shared" si="5"/>
      </x:c>
    </x:row>
    <x:row r="143">
      <x:c r="A143" s="2" t="str">
        <x:f t="shared" si="4"/>
      </x:c>
      <x:c r="B143" s="2" t="e">
        <x:f>IFERROR(__xludf.DUMMYFUNCTION("IF(A143="""","""",SUMPRODUCT(--(LEFT(TO_TEXT(Eventos!B$2:B$1000),10)=A143),--(Eventos!N$2:N$1000&lt;&gt;0),Eventos!I$2:I$1000))"),"")</x:f>
        <x:v>#NAME?</x:v>
      </x:c>
      <x:c r="C143" s="2" t="e">
        <x:f>IFERROR(__xludf.DUMMYFUNCTION("IF(A143="""","""",SUMPRODUCT(--(LEFT(TO_TEXT(Eventos!B$2:B$1000),10)=A143),--(Eventos!N$2:N$1000&lt;&gt;0),Eventos!M$2:M$1000))"),"")</x:f>
        <x:v>#NAME?</x:v>
      </x:c>
      <x:c r="D143" s="2" t="e">
        <x:f>IFERROR(__xludf.DUMMYFUNCTION("IF(A143="""","""",SUMPRODUCT(--(LEFT(TO_TEXT(Eventos!B$2:B$1000),10)=A143),Eventos!N$2:N$1000))"),"")</x:f>
        <x:v>#NAME?</x:v>
      </x:c>
      <x:c r="E143" s="2" t="str">
        <x:f t="shared" si="2"/>
      </x:c>
      <x:c r="F143" s="2" t="str">
        <x:f t="shared" si="5"/>
      </x:c>
    </x:row>
    <x:row r="144">
      <x:c r="A144" s="2" t="str">
        <x:f t="shared" si="4"/>
      </x:c>
      <x:c r="B144" s="2" t="e">
        <x:f>IFERROR(__xludf.DUMMYFUNCTION("IF(A144="""","""",SUMPRODUCT(--(LEFT(TO_TEXT(Eventos!B$2:B$1000),10)=A144),--(Eventos!N$2:N$1000&lt;&gt;0),Eventos!I$2:I$1000))"),"")</x:f>
        <x:v>#NAME?</x:v>
      </x:c>
      <x:c r="C144" s="2" t="e">
        <x:f>IFERROR(__xludf.DUMMYFUNCTION("IF(A144="""","""",SUMPRODUCT(--(LEFT(TO_TEXT(Eventos!B$2:B$1000),10)=A144),--(Eventos!N$2:N$1000&lt;&gt;0),Eventos!M$2:M$1000))"),"")</x:f>
        <x:v>#NAME?</x:v>
      </x:c>
      <x:c r="D144" s="2" t="e">
        <x:f>IFERROR(__xludf.DUMMYFUNCTION("IF(A144="""","""",SUMPRODUCT(--(LEFT(TO_TEXT(Eventos!B$2:B$1000),10)=A144),Eventos!N$2:N$1000))"),"")</x:f>
        <x:v>#NAME?</x:v>
      </x:c>
      <x:c r="E144" s="2" t="str">
        <x:f t="shared" si="2"/>
      </x:c>
      <x:c r="F144" s="2" t="str">
        <x:f t="shared" si="5"/>
      </x:c>
    </x:row>
    <x:row r="145">
      <x:c r="A145" s="2" t="str">
        <x:f t="shared" si="4"/>
      </x:c>
      <x:c r="B145" s="2" t="e">
        <x:f>IFERROR(__xludf.DUMMYFUNCTION("IF(A145="""","""",SUMPRODUCT(--(LEFT(TO_TEXT(Eventos!B$2:B$1000),10)=A145),--(Eventos!N$2:N$1000&lt;&gt;0),Eventos!I$2:I$1000))"),"")</x:f>
        <x:v>#NAME?</x:v>
      </x:c>
      <x:c r="C145" s="2" t="e">
        <x:f>IFERROR(__xludf.DUMMYFUNCTION("IF(A145="""","""",SUMPRODUCT(--(LEFT(TO_TEXT(Eventos!B$2:B$1000),10)=A145),--(Eventos!N$2:N$1000&lt;&gt;0),Eventos!M$2:M$1000))"),"")</x:f>
        <x:v>#NAME?</x:v>
      </x:c>
      <x:c r="D145" s="2" t="e">
        <x:f>IFERROR(__xludf.DUMMYFUNCTION("IF(A145="""","""",SUMPRODUCT(--(LEFT(TO_TEXT(Eventos!B$2:B$1000),10)=A145),Eventos!N$2:N$1000))"),"")</x:f>
        <x:v>#NAME?</x:v>
      </x:c>
      <x:c r="E145" s="2" t="str">
        <x:f t="shared" si="2"/>
      </x:c>
      <x:c r="F145" s="2" t="str">
        <x:f t="shared" si="5"/>
      </x:c>
    </x:row>
    <x:row r="146">
      <x:c r="A146" s="2" t="str">
        <x:f t="shared" si="4"/>
      </x:c>
      <x:c r="B146" s="2" t="e">
        <x:f>IFERROR(__xludf.DUMMYFUNCTION("IF(A146="""","""",SUMPRODUCT(--(LEFT(TO_TEXT(Eventos!B$2:B$1000),10)=A146),--(Eventos!N$2:N$1000&lt;&gt;0),Eventos!I$2:I$1000))"),"")</x:f>
        <x:v>#NAME?</x:v>
      </x:c>
      <x:c r="C146" s="2" t="e">
        <x:f>IFERROR(__xludf.DUMMYFUNCTION("IF(A146="""","""",SUMPRODUCT(--(LEFT(TO_TEXT(Eventos!B$2:B$1000),10)=A146),--(Eventos!N$2:N$1000&lt;&gt;0),Eventos!M$2:M$1000))"),"")</x:f>
        <x:v>#NAME?</x:v>
      </x:c>
      <x:c r="D146" s="2" t="e">
        <x:f>IFERROR(__xludf.DUMMYFUNCTION("IF(A146="""","""",SUMPRODUCT(--(LEFT(TO_TEXT(Eventos!B$2:B$1000),10)=A146),Eventos!N$2:N$1000))"),"")</x:f>
        <x:v>#NAME?</x:v>
      </x:c>
      <x:c r="E146" s="2" t="str">
        <x:f t="shared" si="2"/>
      </x:c>
      <x:c r="F146" s="2" t="str">
        <x:f t="shared" si="5"/>
      </x:c>
    </x:row>
    <x:row r="147">
      <x:c r="A147" s="2" t="str">
        <x:f t="shared" si="4"/>
      </x:c>
      <x:c r="B147" s="2" t="e">
        <x:f>IFERROR(__xludf.DUMMYFUNCTION("IF(A147="""","""",SUMPRODUCT(--(LEFT(TO_TEXT(Eventos!B$2:B$1000),10)=A147),--(Eventos!N$2:N$1000&lt;&gt;0),Eventos!I$2:I$1000))"),"")</x:f>
        <x:v>#NAME?</x:v>
      </x:c>
      <x:c r="C147" s="2" t="e">
        <x:f>IFERROR(__xludf.DUMMYFUNCTION("IF(A147="""","""",SUMPRODUCT(--(LEFT(TO_TEXT(Eventos!B$2:B$1000),10)=A147),--(Eventos!N$2:N$1000&lt;&gt;0),Eventos!M$2:M$1000))"),"")</x:f>
        <x:v>#NAME?</x:v>
      </x:c>
      <x:c r="D147" s="2" t="e">
        <x:f>IFERROR(__xludf.DUMMYFUNCTION("IF(A147="""","""",SUMPRODUCT(--(LEFT(TO_TEXT(Eventos!B$2:B$1000),10)=A147),Eventos!N$2:N$1000))"),"")</x:f>
        <x:v>#NAME?</x:v>
      </x:c>
      <x:c r="E147" s="2" t="str">
        <x:f t="shared" si="2"/>
      </x:c>
      <x:c r="F147" s="2" t="str">
        <x:f t="shared" si="5"/>
      </x:c>
    </x:row>
    <x:row r="148">
      <x:c r="A148" s="2" t="str">
        <x:f t="shared" si="4"/>
      </x:c>
      <x:c r="B148" s="2" t="e">
        <x:f>IFERROR(__xludf.DUMMYFUNCTION("IF(A148="""","""",SUMPRODUCT(--(LEFT(TO_TEXT(Eventos!B$2:B$1000),10)=A148),--(Eventos!N$2:N$1000&lt;&gt;0),Eventos!I$2:I$1000))"),"")</x:f>
        <x:v>#NAME?</x:v>
      </x:c>
      <x:c r="C148" s="2" t="e">
        <x:f>IFERROR(__xludf.DUMMYFUNCTION("IF(A148="""","""",SUMPRODUCT(--(LEFT(TO_TEXT(Eventos!B$2:B$1000),10)=A148),--(Eventos!N$2:N$1000&lt;&gt;0),Eventos!M$2:M$1000))"),"")</x:f>
        <x:v>#NAME?</x:v>
      </x:c>
      <x:c r="D148" s="2" t="e">
        <x:f>IFERROR(__xludf.DUMMYFUNCTION("IF(A148="""","""",SUMPRODUCT(--(LEFT(TO_TEXT(Eventos!B$2:B$1000),10)=A148),Eventos!N$2:N$1000))"),"")</x:f>
        <x:v>#NAME?</x:v>
      </x:c>
      <x:c r="E148" s="2" t="str">
        <x:f t="shared" si="2"/>
      </x:c>
      <x:c r="F148" s="2" t="str">
        <x:f t="shared" si="5"/>
      </x:c>
    </x:row>
    <x:row r="149">
      <x:c r="A149" s="2" t="str">
        <x:f t="shared" si="4"/>
      </x:c>
      <x:c r="B149" s="2" t="e">
        <x:f>IFERROR(__xludf.DUMMYFUNCTION("IF(A149="""","""",SUMPRODUCT(--(LEFT(TO_TEXT(Eventos!B$2:B$1000),10)=A149),--(Eventos!N$2:N$1000&lt;&gt;0),Eventos!I$2:I$1000))"),"")</x:f>
        <x:v>#NAME?</x:v>
      </x:c>
      <x:c r="C149" s="2" t="e">
        <x:f>IFERROR(__xludf.DUMMYFUNCTION("IF(A149="""","""",SUMPRODUCT(--(LEFT(TO_TEXT(Eventos!B$2:B$1000),10)=A149),--(Eventos!N$2:N$1000&lt;&gt;0),Eventos!M$2:M$1000))"),"")</x:f>
        <x:v>#NAME?</x:v>
      </x:c>
      <x:c r="D149" s="2" t="e">
        <x:f>IFERROR(__xludf.DUMMYFUNCTION("IF(A149="""","""",SUMPRODUCT(--(LEFT(TO_TEXT(Eventos!B$2:B$1000),10)=A149),Eventos!N$2:N$1000))"),"")</x:f>
        <x:v>#NAME?</x:v>
      </x:c>
      <x:c r="E149" s="2" t="str">
        <x:f t="shared" si="2"/>
      </x:c>
      <x:c r="F149" s="2" t="str">
        <x:f t="shared" si="5"/>
      </x:c>
    </x:row>
    <x:row r="150">
      <x:c r="A150" s="2" t="str">
        <x:f t="shared" si="4"/>
      </x:c>
      <x:c r="B150" s="2" t="e">
        <x:f>IFERROR(__xludf.DUMMYFUNCTION("IF(A150="""","""",SUMPRODUCT(--(LEFT(TO_TEXT(Eventos!B$2:B$1000),10)=A150),--(Eventos!N$2:N$1000&lt;&gt;0),Eventos!I$2:I$1000))"),"")</x:f>
        <x:v>#NAME?</x:v>
      </x:c>
      <x:c r="C150" s="2" t="e">
        <x:f>IFERROR(__xludf.DUMMYFUNCTION("IF(A150="""","""",SUMPRODUCT(--(LEFT(TO_TEXT(Eventos!B$2:B$1000),10)=A150),--(Eventos!N$2:N$1000&lt;&gt;0),Eventos!M$2:M$1000))"),"")</x:f>
        <x:v>#NAME?</x:v>
      </x:c>
      <x:c r="D150" s="2" t="e">
        <x:f>IFERROR(__xludf.DUMMYFUNCTION("IF(A150="""","""",SUMPRODUCT(--(LEFT(TO_TEXT(Eventos!B$2:B$1000),10)=A150),Eventos!N$2:N$1000))"),"")</x:f>
        <x:v>#NAME?</x:v>
      </x:c>
      <x:c r="E150" s="2" t="str">
        <x:f t="shared" si="2"/>
      </x:c>
      <x:c r="F150" s="2" t="str">
        <x:f t="shared" si="5"/>
      </x:c>
    </x:row>
    <x:row r="151">
      <x:c r="A151" s="2" t="str">
        <x:f t="shared" si="4"/>
      </x:c>
      <x:c r="B151" s="2" t="e">
        <x:f>IFERROR(__xludf.DUMMYFUNCTION("IF(A151="""","""",SUMPRODUCT(--(LEFT(TO_TEXT(Eventos!B$2:B$1000),10)=A151),--(Eventos!N$2:N$1000&lt;&gt;0),Eventos!I$2:I$1000))"),"")</x:f>
        <x:v>#NAME?</x:v>
      </x:c>
      <x:c r="C151" s="2" t="e">
        <x:f>IFERROR(__xludf.DUMMYFUNCTION("IF(A151="""","""",SUMPRODUCT(--(LEFT(TO_TEXT(Eventos!B$2:B$1000),10)=A151),--(Eventos!N$2:N$1000&lt;&gt;0),Eventos!M$2:M$1000))"),"")</x:f>
        <x:v>#NAME?</x:v>
      </x:c>
      <x:c r="D151" s="2" t="e">
        <x:f>IFERROR(__xludf.DUMMYFUNCTION("IF(A151="""","""",SUMPRODUCT(--(LEFT(TO_TEXT(Eventos!B$2:B$1000),10)=A151),Eventos!N$2:N$1000))"),"")</x:f>
        <x:v>#NAME?</x:v>
      </x:c>
      <x:c r="E151" s="2" t="str">
        <x:f t="shared" si="2"/>
      </x:c>
      <x:c r="F151" s="2" t="str">
        <x:f t="shared" si="5"/>
      </x:c>
    </x:row>
    <x:row r="152">
      <x:c r="A152" s="2" t="str">
        <x:f t="shared" si="4"/>
      </x:c>
      <x:c r="B152" s="2" t="e">
        <x:f>IFERROR(__xludf.DUMMYFUNCTION("IF(A152="""","""",SUMPRODUCT(--(LEFT(TO_TEXT(Eventos!B$2:B$1000),10)=A152),--(Eventos!N$2:N$1000&lt;&gt;0),Eventos!I$2:I$1000))"),"")</x:f>
        <x:v>#NAME?</x:v>
      </x:c>
      <x:c r="C152" s="2" t="e">
        <x:f>IFERROR(__xludf.DUMMYFUNCTION("IF(A152="""","""",SUMPRODUCT(--(LEFT(TO_TEXT(Eventos!B$2:B$1000),10)=A152),--(Eventos!N$2:N$1000&lt;&gt;0),Eventos!M$2:M$1000))"),"")</x:f>
        <x:v>#NAME?</x:v>
      </x:c>
      <x:c r="D152" s="2" t="e">
        <x:f>IFERROR(__xludf.DUMMYFUNCTION("IF(A152="""","""",SUMPRODUCT(--(LEFT(TO_TEXT(Eventos!B$2:B$1000),10)=A152),Eventos!N$2:N$1000))"),"")</x:f>
        <x:v>#NAME?</x:v>
      </x:c>
      <x:c r="E152" s="2" t="str">
        <x:f t="shared" si="2"/>
      </x:c>
      <x:c r="F152" s="2" t="str">
        <x:f t="shared" si="5"/>
      </x:c>
    </x:row>
    <x:row r="153">
      <x:c r="A153" s="2" t="str">
        <x:f t="shared" si="4"/>
      </x:c>
      <x:c r="B153" s="2" t="e">
        <x:f>IFERROR(__xludf.DUMMYFUNCTION("IF(A153="""","""",SUMPRODUCT(--(LEFT(TO_TEXT(Eventos!B$2:B$1000),10)=A153),--(Eventos!N$2:N$1000&lt;&gt;0),Eventos!I$2:I$1000))"),"")</x:f>
        <x:v>#NAME?</x:v>
      </x:c>
      <x:c r="C153" s="2" t="e">
        <x:f>IFERROR(__xludf.DUMMYFUNCTION("IF(A153="""","""",SUMPRODUCT(--(LEFT(TO_TEXT(Eventos!B$2:B$1000),10)=A153),--(Eventos!N$2:N$1000&lt;&gt;0),Eventos!M$2:M$1000))"),"")</x:f>
        <x:v>#NAME?</x:v>
      </x:c>
      <x:c r="D153" s="2" t="e">
        <x:f>IFERROR(__xludf.DUMMYFUNCTION("IF(A153="""","""",SUMPRODUCT(--(LEFT(TO_TEXT(Eventos!B$2:B$1000),10)=A153),Eventos!N$2:N$1000))"),"")</x:f>
        <x:v>#NAME?</x:v>
      </x:c>
      <x:c r="E153" s="2" t="str">
        <x:f t="shared" si="2"/>
      </x:c>
      <x:c r="F153" s="2" t="str">
        <x:f t="shared" si="5"/>
      </x:c>
    </x:row>
    <x:row r="154">
      <x:c r="A154" s="2" t="str">
        <x:f t="shared" si="4"/>
      </x:c>
      <x:c r="B154" s="2" t="e">
        <x:f>IFERROR(__xludf.DUMMYFUNCTION("IF(A154="""","""",SUMPRODUCT(--(LEFT(TO_TEXT(Eventos!B$2:B$1000),10)=A154),--(Eventos!N$2:N$1000&lt;&gt;0),Eventos!I$2:I$1000))"),"")</x:f>
        <x:v>#NAME?</x:v>
      </x:c>
      <x:c r="C154" s="2" t="e">
        <x:f>IFERROR(__xludf.DUMMYFUNCTION("IF(A154="""","""",SUMPRODUCT(--(LEFT(TO_TEXT(Eventos!B$2:B$1000),10)=A154),--(Eventos!N$2:N$1000&lt;&gt;0),Eventos!M$2:M$1000))"),"")</x:f>
        <x:v>#NAME?</x:v>
      </x:c>
      <x:c r="D154" s="2" t="e">
        <x:f>IFERROR(__xludf.DUMMYFUNCTION("IF(A154="""","""",SUMPRODUCT(--(LEFT(TO_TEXT(Eventos!B$2:B$1000),10)=A154),Eventos!N$2:N$1000))"),"")</x:f>
        <x:v>#NAME?</x:v>
      </x:c>
      <x:c r="E154" s="2" t="str">
        <x:f t="shared" si="2"/>
      </x:c>
      <x:c r="F154" s="2" t="str">
        <x:f t="shared" si="5"/>
      </x:c>
    </x:row>
    <x:row r="155">
      <x:c r="A155" s="2" t="str">
        <x:f t="shared" si="4"/>
      </x:c>
      <x:c r="B155" s="2" t="e">
        <x:f>IFERROR(__xludf.DUMMYFUNCTION("IF(A155="""","""",SUMPRODUCT(--(LEFT(TO_TEXT(Eventos!B$2:B$1000),10)=A155),--(Eventos!N$2:N$1000&lt;&gt;0),Eventos!I$2:I$1000))"),"")</x:f>
        <x:v>#NAME?</x:v>
      </x:c>
      <x:c r="C155" s="2" t="e">
        <x:f>IFERROR(__xludf.DUMMYFUNCTION("IF(A155="""","""",SUMPRODUCT(--(LEFT(TO_TEXT(Eventos!B$2:B$1000),10)=A155),--(Eventos!N$2:N$1000&lt;&gt;0),Eventos!M$2:M$1000))"),"")</x:f>
        <x:v>#NAME?</x:v>
      </x:c>
      <x:c r="D155" s="2" t="e">
        <x:f>IFERROR(__xludf.DUMMYFUNCTION("IF(A155="""","""",SUMPRODUCT(--(LEFT(TO_TEXT(Eventos!B$2:B$1000),10)=A155),Eventos!N$2:N$1000))"),"")</x:f>
        <x:v>#NAME?</x:v>
      </x:c>
      <x:c r="E155" s="2" t="str">
        <x:f t="shared" si="2"/>
      </x:c>
      <x:c r="F155" s="2" t="str">
        <x:f t="shared" si="5"/>
      </x:c>
    </x:row>
    <x:row r="156">
      <x:c r="A156" s="2" t="str">
        <x:f t="shared" si="4"/>
      </x:c>
      <x:c r="B156" s="2" t="e">
        <x:f>IFERROR(__xludf.DUMMYFUNCTION("IF(A156="""","""",SUMPRODUCT(--(LEFT(TO_TEXT(Eventos!B$2:B$1000),10)=A156),--(Eventos!N$2:N$1000&lt;&gt;0),Eventos!I$2:I$1000))"),"")</x:f>
        <x:v>#NAME?</x:v>
      </x:c>
      <x:c r="C156" s="2" t="e">
        <x:f>IFERROR(__xludf.DUMMYFUNCTION("IF(A156="""","""",SUMPRODUCT(--(LEFT(TO_TEXT(Eventos!B$2:B$1000),10)=A156),--(Eventos!N$2:N$1000&lt;&gt;0),Eventos!M$2:M$1000))"),"")</x:f>
        <x:v>#NAME?</x:v>
      </x:c>
      <x:c r="D156" s="2" t="e">
        <x:f>IFERROR(__xludf.DUMMYFUNCTION("IF(A156="""","""",SUMPRODUCT(--(LEFT(TO_TEXT(Eventos!B$2:B$1000),10)=A156),Eventos!N$2:N$1000))"),"")</x:f>
        <x:v>#NAME?</x:v>
      </x:c>
      <x:c r="E156" s="2" t="str">
        <x:f t="shared" si="2"/>
      </x:c>
      <x:c r="F156" s="2" t="str">
        <x:f t="shared" si="5"/>
      </x:c>
    </x:row>
    <x:row r="157">
      <x:c r="A157" s="2" t="str">
        <x:f t="shared" si="4"/>
      </x:c>
      <x:c r="B157" s="2" t="e">
        <x:f>IFERROR(__xludf.DUMMYFUNCTION("IF(A157="""","""",SUMPRODUCT(--(LEFT(TO_TEXT(Eventos!B$2:B$1000),10)=A157),--(Eventos!N$2:N$1000&lt;&gt;0),Eventos!I$2:I$1000))"),"")</x:f>
        <x:v>#NAME?</x:v>
      </x:c>
      <x:c r="C157" s="2" t="e">
        <x:f>IFERROR(__xludf.DUMMYFUNCTION("IF(A157="""","""",SUMPRODUCT(--(LEFT(TO_TEXT(Eventos!B$2:B$1000),10)=A157),--(Eventos!N$2:N$1000&lt;&gt;0),Eventos!M$2:M$1000))"),"")</x:f>
        <x:v>#NAME?</x:v>
      </x:c>
      <x:c r="D157" s="2" t="e">
        <x:f>IFERROR(__xludf.DUMMYFUNCTION("IF(A157="""","""",SUMPRODUCT(--(LEFT(TO_TEXT(Eventos!B$2:B$1000),10)=A157),Eventos!N$2:N$1000))"),"")</x:f>
        <x:v>#NAME?</x:v>
      </x:c>
      <x:c r="E157" s="2" t="str">
        <x:f t="shared" si="2"/>
      </x:c>
      <x:c r="F157" s="2" t="str">
        <x:f t="shared" si="5"/>
      </x:c>
    </x:row>
    <x:row r="158">
      <x:c r="A158" s="2" t="str">
        <x:f t="shared" si="4"/>
      </x:c>
      <x:c r="B158" s="2" t="e">
        <x:f>IFERROR(__xludf.DUMMYFUNCTION("IF(A158="""","""",SUMPRODUCT(--(LEFT(TO_TEXT(Eventos!B$2:B$1000),10)=A158),--(Eventos!N$2:N$1000&lt;&gt;0),Eventos!I$2:I$1000))"),"")</x:f>
        <x:v>#NAME?</x:v>
      </x:c>
      <x:c r="C158" s="2" t="e">
        <x:f>IFERROR(__xludf.DUMMYFUNCTION("IF(A158="""","""",SUMPRODUCT(--(LEFT(TO_TEXT(Eventos!B$2:B$1000),10)=A158),--(Eventos!N$2:N$1000&lt;&gt;0),Eventos!M$2:M$1000))"),"")</x:f>
        <x:v>#NAME?</x:v>
      </x:c>
      <x:c r="D158" s="2" t="e">
        <x:f>IFERROR(__xludf.DUMMYFUNCTION("IF(A158="""","""",SUMPRODUCT(--(LEFT(TO_TEXT(Eventos!B$2:B$1000),10)=A158),Eventos!N$2:N$1000))"),"")</x:f>
        <x:v>#NAME?</x:v>
      </x:c>
      <x:c r="E158" s="2" t="str">
        <x:f t="shared" si="2"/>
      </x:c>
      <x:c r="F158" s="2" t="str">
        <x:f t="shared" si="5"/>
      </x:c>
    </x:row>
    <x:row r="159">
      <x:c r="A159" s="2" t="str">
        <x:f t="shared" si="4"/>
      </x:c>
      <x:c r="B159" s="2" t="e">
        <x:f>IFERROR(__xludf.DUMMYFUNCTION("IF(A159="""","""",SUMPRODUCT(--(LEFT(TO_TEXT(Eventos!B$2:B$1000),10)=A159),--(Eventos!N$2:N$1000&lt;&gt;0),Eventos!I$2:I$1000))"),"")</x:f>
        <x:v>#NAME?</x:v>
      </x:c>
      <x:c r="C159" s="2" t="e">
        <x:f>IFERROR(__xludf.DUMMYFUNCTION("IF(A159="""","""",SUMPRODUCT(--(LEFT(TO_TEXT(Eventos!B$2:B$1000),10)=A159),--(Eventos!N$2:N$1000&lt;&gt;0),Eventos!M$2:M$1000))"),"")</x:f>
        <x:v>#NAME?</x:v>
      </x:c>
      <x:c r="D159" s="2" t="e">
        <x:f>IFERROR(__xludf.DUMMYFUNCTION("IF(A159="""","""",SUMPRODUCT(--(LEFT(TO_TEXT(Eventos!B$2:B$1000),10)=A159),Eventos!N$2:N$1000))"),"")</x:f>
        <x:v>#NAME?</x:v>
      </x:c>
      <x:c r="E159" s="2" t="str">
        <x:f t="shared" si="2"/>
      </x:c>
      <x:c r="F159" s="2" t="str">
        <x:f t="shared" si="5"/>
      </x:c>
    </x:row>
    <x:row r="160">
      <x:c r="A160" s="2" t="str">
        <x:f t="shared" si="4"/>
      </x:c>
      <x:c r="B160" s="2" t="e">
        <x:f>IFERROR(__xludf.DUMMYFUNCTION("IF(A160="""","""",SUMPRODUCT(--(LEFT(TO_TEXT(Eventos!B$2:B$1000),10)=A160),--(Eventos!N$2:N$1000&lt;&gt;0),Eventos!I$2:I$1000))"),"")</x:f>
        <x:v>#NAME?</x:v>
      </x:c>
      <x:c r="C160" s="2" t="e">
        <x:f>IFERROR(__xludf.DUMMYFUNCTION("IF(A160="""","""",SUMPRODUCT(--(LEFT(TO_TEXT(Eventos!B$2:B$1000),10)=A160),--(Eventos!N$2:N$1000&lt;&gt;0),Eventos!M$2:M$1000))"),"")</x:f>
        <x:v>#NAME?</x:v>
      </x:c>
      <x:c r="D160" s="2" t="e">
        <x:f>IFERROR(__xludf.DUMMYFUNCTION("IF(A160="""","""",SUMPRODUCT(--(LEFT(TO_TEXT(Eventos!B$2:B$1000),10)=A160),Eventos!N$2:N$1000))"),"")</x:f>
        <x:v>#NAME?</x:v>
      </x:c>
      <x:c r="E160" s="2" t="str">
        <x:f t="shared" si="2"/>
      </x:c>
      <x:c r="F160" s="2" t="str">
        <x:f t="shared" si="5"/>
      </x:c>
    </x:row>
    <x:row r="161">
      <x:c r="A161" s="2" t="str">
        <x:f t="shared" si="4"/>
      </x:c>
      <x:c r="B161" s="2" t="e">
        <x:f>IFERROR(__xludf.DUMMYFUNCTION("IF(A161="""","""",SUMPRODUCT(--(LEFT(TO_TEXT(Eventos!B$2:B$1000),10)=A161),--(Eventos!N$2:N$1000&lt;&gt;0),Eventos!I$2:I$1000))"),"")</x:f>
        <x:v>#NAME?</x:v>
      </x:c>
      <x:c r="C161" s="2" t="e">
        <x:f>IFERROR(__xludf.DUMMYFUNCTION("IF(A161="""","""",SUMPRODUCT(--(LEFT(TO_TEXT(Eventos!B$2:B$1000),10)=A161),--(Eventos!N$2:N$1000&lt;&gt;0),Eventos!M$2:M$1000))"),"")</x:f>
        <x:v>#NAME?</x:v>
      </x:c>
      <x:c r="D161" s="2" t="e">
        <x:f>IFERROR(__xludf.DUMMYFUNCTION("IF(A161="""","""",SUMPRODUCT(--(LEFT(TO_TEXT(Eventos!B$2:B$1000),10)=A161),Eventos!N$2:N$1000))"),"")</x:f>
        <x:v>#NAME?</x:v>
      </x:c>
      <x:c r="E161" s="2" t="str">
        <x:f t="shared" si="2"/>
      </x:c>
      <x:c r="F161" s="2" t="str">
        <x:f t="shared" si="5"/>
      </x:c>
    </x:row>
    <x:row r="162">
      <x:c r="A162" s="2" t="str">
        <x:f t="shared" si="4"/>
      </x:c>
      <x:c r="B162" s="2" t="e">
        <x:f>IFERROR(__xludf.DUMMYFUNCTION("IF(A162="""","""",SUMPRODUCT(--(LEFT(TO_TEXT(Eventos!B$2:B$1000),10)=A162),--(Eventos!N$2:N$1000&lt;&gt;0),Eventos!I$2:I$1000))"),"")</x:f>
        <x:v>#NAME?</x:v>
      </x:c>
      <x:c r="C162" s="2" t="e">
        <x:f>IFERROR(__xludf.DUMMYFUNCTION("IF(A162="""","""",SUMPRODUCT(--(LEFT(TO_TEXT(Eventos!B$2:B$1000),10)=A162),--(Eventos!N$2:N$1000&lt;&gt;0),Eventos!M$2:M$1000))"),"")</x:f>
        <x:v>#NAME?</x:v>
      </x:c>
      <x:c r="D162" s="2" t="e">
        <x:f>IFERROR(__xludf.DUMMYFUNCTION("IF(A162="""","""",SUMPRODUCT(--(LEFT(TO_TEXT(Eventos!B$2:B$1000),10)=A162),Eventos!N$2:N$1000))"),"")</x:f>
        <x:v>#NAME?</x:v>
      </x:c>
      <x:c r="E162" s="2" t="str">
        <x:f t="shared" si="2"/>
      </x:c>
      <x:c r="F162" s="2" t="str">
        <x:f t="shared" si="5"/>
      </x:c>
    </x:row>
    <x:row r="163">
      <x:c r="A163" s="2" t="str">
        <x:f t="shared" si="4"/>
      </x:c>
      <x:c r="B163" s="2" t="e">
        <x:f>IFERROR(__xludf.DUMMYFUNCTION("IF(A163="""","""",SUMPRODUCT(--(LEFT(TO_TEXT(Eventos!B$2:B$1000),10)=A163),--(Eventos!N$2:N$1000&lt;&gt;0),Eventos!I$2:I$1000))"),"")</x:f>
        <x:v>#NAME?</x:v>
      </x:c>
      <x:c r="C163" s="2" t="e">
        <x:f>IFERROR(__xludf.DUMMYFUNCTION("IF(A163="""","""",SUMPRODUCT(--(LEFT(TO_TEXT(Eventos!B$2:B$1000),10)=A163),--(Eventos!N$2:N$1000&lt;&gt;0),Eventos!M$2:M$1000))"),"")</x:f>
        <x:v>#NAME?</x:v>
      </x:c>
      <x:c r="D163" s="2" t="e">
        <x:f>IFERROR(__xludf.DUMMYFUNCTION("IF(A163="""","""",SUMPRODUCT(--(LEFT(TO_TEXT(Eventos!B$2:B$1000),10)=A163),Eventos!N$2:N$1000))"),"")</x:f>
        <x:v>#NAME?</x:v>
      </x:c>
      <x:c r="E163" s="2" t="str">
        <x:f t="shared" si="2"/>
      </x:c>
      <x:c r="F163" s="2" t="str">
        <x:f t="shared" si="5"/>
      </x:c>
    </x:row>
    <x:row r="164">
      <x:c r="A164" s="2" t="str">
        <x:f t="shared" si="4"/>
      </x:c>
      <x:c r="B164" s="2" t="e">
        <x:f>IFERROR(__xludf.DUMMYFUNCTION("IF(A164="""","""",SUMPRODUCT(--(LEFT(TO_TEXT(Eventos!B$2:B$1000),10)=A164),--(Eventos!N$2:N$1000&lt;&gt;0),Eventos!I$2:I$1000))"),"")</x:f>
        <x:v>#NAME?</x:v>
      </x:c>
      <x:c r="C164" s="2" t="e">
        <x:f>IFERROR(__xludf.DUMMYFUNCTION("IF(A164="""","""",SUMPRODUCT(--(LEFT(TO_TEXT(Eventos!B$2:B$1000),10)=A164),--(Eventos!N$2:N$1000&lt;&gt;0),Eventos!M$2:M$1000))"),"")</x:f>
        <x:v>#NAME?</x:v>
      </x:c>
      <x:c r="D164" s="2" t="e">
        <x:f>IFERROR(__xludf.DUMMYFUNCTION("IF(A164="""","""",SUMPRODUCT(--(LEFT(TO_TEXT(Eventos!B$2:B$1000),10)=A164),Eventos!N$2:N$1000))"),"")</x:f>
        <x:v>#NAME?</x:v>
      </x:c>
      <x:c r="E164" s="2" t="str">
        <x:f t="shared" si="2"/>
      </x:c>
      <x:c r="F164" s="2" t="str">
        <x:f t="shared" si="5"/>
      </x:c>
    </x:row>
    <x:row r="165">
      <x:c r="A165" s="2" t="str">
        <x:f t="shared" si="4"/>
      </x:c>
      <x:c r="B165" s="2" t="e">
        <x:f>IFERROR(__xludf.DUMMYFUNCTION("IF(A165="""","""",SUMPRODUCT(--(LEFT(TO_TEXT(Eventos!B$2:B$1000),10)=A165),--(Eventos!N$2:N$1000&lt;&gt;0),Eventos!I$2:I$1000))"),"")</x:f>
        <x:v>#NAME?</x:v>
      </x:c>
      <x:c r="C165" s="2" t="e">
        <x:f>IFERROR(__xludf.DUMMYFUNCTION("IF(A165="""","""",SUMPRODUCT(--(LEFT(TO_TEXT(Eventos!B$2:B$1000),10)=A165),--(Eventos!N$2:N$1000&lt;&gt;0),Eventos!M$2:M$1000))"),"")</x:f>
        <x:v>#NAME?</x:v>
      </x:c>
      <x:c r="D165" s="2" t="e">
        <x:f>IFERROR(__xludf.DUMMYFUNCTION("IF(A165="""","""",SUMPRODUCT(--(LEFT(TO_TEXT(Eventos!B$2:B$1000),10)=A165),Eventos!N$2:N$1000))"),"")</x:f>
        <x:v>#NAME?</x:v>
      </x:c>
      <x:c r="E165" s="2" t="str">
        <x:f t="shared" si="2"/>
      </x:c>
      <x:c r="F165" s="2" t="str">
        <x:f t="shared" si="5"/>
      </x:c>
    </x:row>
    <x:row r="166">
      <x:c r="A166" s="2" t="str">
        <x:f t="shared" si="4"/>
      </x:c>
      <x:c r="B166" s="2" t="e">
        <x:f>IFERROR(__xludf.DUMMYFUNCTION("IF(A166="""","""",SUMPRODUCT(--(LEFT(TO_TEXT(Eventos!B$2:B$1000),10)=A166),--(Eventos!N$2:N$1000&lt;&gt;0),Eventos!I$2:I$1000))"),"")</x:f>
        <x:v>#NAME?</x:v>
      </x:c>
      <x:c r="C166" s="2" t="e">
        <x:f>IFERROR(__xludf.DUMMYFUNCTION("IF(A166="""","""",SUMPRODUCT(--(LEFT(TO_TEXT(Eventos!B$2:B$1000),10)=A166),--(Eventos!N$2:N$1000&lt;&gt;0),Eventos!M$2:M$1000))"),"")</x:f>
        <x:v>#NAME?</x:v>
      </x:c>
      <x:c r="D166" s="2" t="e">
        <x:f>IFERROR(__xludf.DUMMYFUNCTION("IF(A166="""","""",SUMPRODUCT(--(LEFT(TO_TEXT(Eventos!B$2:B$1000),10)=A166),Eventos!N$2:N$1000))"),"")</x:f>
        <x:v>#NAME?</x:v>
      </x:c>
      <x:c r="E166" s="2" t="str">
        <x:f t="shared" si="2"/>
      </x:c>
      <x:c r="F166" s="2" t="str">
        <x:f t="shared" si="5"/>
      </x:c>
    </x:row>
    <x:row r="167">
      <x:c r="A167" s="2" t="str">
        <x:f t="shared" si="4"/>
      </x:c>
      <x:c r="B167" s="2" t="e">
        <x:f>IFERROR(__xludf.DUMMYFUNCTION("IF(A167="""","""",SUMPRODUCT(--(LEFT(TO_TEXT(Eventos!B$2:B$1000),10)=A167),--(Eventos!N$2:N$1000&lt;&gt;0),Eventos!I$2:I$1000))"),"")</x:f>
        <x:v>#NAME?</x:v>
      </x:c>
      <x:c r="C167" s="2" t="e">
        <x:f>IFERROR(__xludf.DUMMYFUNCTION("IF(A167="""","""",SUMPRODUCT(--(LEFT(TO_TEXT(Eventos!B$2:B$1000),10)=A167),--(Eventos!N$2:N$1000&lt;&gt;0),Eventos!M$2:M$1000))"),"")</x:f>
        <x:v>#NAME?</x:v>
      </x:c>
      <x:c r="D167" s="2" t="e">
        <x:f>IFERROR(__xludf.DUMMYFUNCTION("IF(A167="""","""",SUMPRODUCT(--(LEFT(TO_TEXT(Eventos!B$2:B$1000),10)=A167),Eventos!N$2:N$1000))"),"")</x:f>
        <x:v>#NAME?</x:v>
      </x:c>
      <x:c r="E167" s="2" t="str">
        <x:f t="shared" si="2"/>
      </x:c>
      <x:c r="F167" s="2" t="str">
        <x:f t="shared" si="5"/>
      </x:c>
    </x:row>
    <x:row r="168">
      <x:c r="A168" s="2" t="str">
        <x:f t="shared" si="4"/>
      </x:c>
      <x:c r="B168" s="2" t="e">
        <x:f>IFERROR(__xludf.DUMMYFUNCTION("IF(A168="""","""",SUMPRODUCT(--(LEFT(TO_TEXT(Eventos!B$2:B$1000),10)=A168),--(Eventos!N$2:N$1000&lt;&gt;0),Eventos!I$2:I$1000))"),"")</x:f>
        <x:v>#NAME?</x:v>
      </x:c>
      <x:c r="C168" s="2" t="e">
        <x:f>IFERROR(__xludf.DUMMYFUNCTION("IF(A168="""","""",SUMPRODUCT(--(LEFT(TO_TEXT(Eventos!B$2:B$1000),10)=A168),--(Eventos!N$2:N$1000&lt;&gt;0),Eventos!M$2:M$1000))"),"")</x:f>
        <x:v>#NAME?</x:v>
      </x:c>
      <x:c r="D168" s="2" t="e">
        <x:f>IFERROR(__xludf.DUMMYFUNCTION("IF(A168="""","""",SUMPRODUCT(--(LEFT(TO_TEXT(Eventos!B$2:B$1000),10)=A168),Eventos!N$2:N$1000))"),"")</x:f>
        <x:v>#NAME?</x:v>
      </x:c>
      <x:c r="E168" s="2" t="str">
        <x:f t="shared" si="2"/>
      </x:c>
      <x:c r="F168" s="2" t="str">
        <x:f t="shared" si="5"/>
      </x:c>
    </x:row>
    <x:row r="169">
      <x:c r="A169" s="2" t="str">
        <x:f t="shared" si="4"/>
      </x:c>
      <x:c r="B169" s="2" t="e">
        <x:f>IFERROR(__xludf.DUMMYFUNCTION("IF(A169="""","""",SUMPRODUCT(--(LEFT(TO_TEXT(Eventos!B$2:B$1000),10)=A169),--(Eventos!N$2:N$1000&lt;&gt;0),Eventos!I$2:I$1000))"),"")</x:f>
        <x:v>#NAME?</x:v>
      </x:c>
      <x:c r="C169" s="2" t="e">
        <x:f>IFERROR(__xludf.DUMMYFUNCTION("IF(A169="""","""",SUMPRODUCT(--(LEFT(TO_TEXT(Eventos!B$2:B$1000),10)=A169),--(Eventos!N$2:N$1000&lt;&gt;0),Eventos!M$2:M$1000))"),"")</x:f>
        <x:v>#NAME?</x:v>
      </x:c>
      <x:c r="D169" s="2" t="e">
        <x:f>IFERROR(__xludf.DUMMYFUNCTION("IF(A169="""","""",SUMPRODUCT(--(LEFT(TO_TEXT(Eventos!B$2:B$1000),10)=A169),Eventos!N$2:N$1000))"),"")</x:f>
        <x:v>#NAME?</x:v>
      </x:c>
      <x:c r="E169" s="2" t="str">
        <x:f t="shared" si="2"/>
      </x:c>
      <x:c r="F169" s="2" t="str">
        <x:f t="shared" si="5"/>
      </x:c>
    </x:row>
    <x:row r="170">
      <x:c r="A170" s="2" t="str">
        <x:f t="shared" si="4"/>
      </x:c>
      <x:c r="B170" s="2" t="e">
        <x:f>IFERROR(__xludf.DUMMYFUNCTION("IF(A170="""","""",SUMPRODUCT(--(LEFT(TO_TEXT(Eventos!B$2:B$1000),10)=A170),--(Eventos!N$2:N$1000&lt;&gt;0),Eventos!I$2:I$1000))"),"")</x:f>
        <x:v>#NAME?</x:v>
      </x:c>
      <x:c r="C170" s="2" t="e">
        <x:f>IFERROR(__xludf.DUMMYFUNCTION("IF(A170="""","""",SUMPRODUCT(--(LEFT(TO_TEXT(Eventos!B$2:B$1000),10)=A170),--(Eventos!N$2:N$1000&lt;&gt;0),Eventos!M$2:M$1000))"),"")</x:f>
        <x:v>#NAME?</x:v>
      </x:c>
      <x:c r="D170" s="2" t="e">
        <x:f>IFERROR(__xludf.DUMMYFUNCTION("IF(A170="""","""",SUMPRODUCT(--(LEFT(TO_TEXT(Eventos!B$2:B$1000),10)=A170),Eventos!N$2:N$1000))"),"")</x:f>
        <x:v>#NAME?</x:v>
      </x:c>
      <x:c r="E170" s="2" t="str">
        <x:f t="shared" si="2"/>
      </x:c>
      <x:c r="F170" s="2" t="str">
        <x:f t="shared" si="5"/>
      </x:c>
    </x:row>
    <x:row r="171">
      <x:c r="A171" s="2" t="str">
        <x:f t="shared" si="4"/>
      </x:c>
      <x:c r="B171" s="2" t="e">
        <x:f>IFERROR(__xludf.DUMMYFUNCTION("IF(A171="""","""",SUMPRODUCT(--(LEFT(TO_TEXT(Eventos!B$2:B$1000),10)=A171),--(Eventos!N$2:N$1000&lt;&gt;0),Eventos!I$2:I$1000))"),"")</x:f>
        <x:v>#NAME?</x:v>
      </x:c>
      <x:c r="C171" s="2" t="e">
        <x:f>IFERROR(__xludf.DUMMYFUNCTION("IF(A171="""","""",SUMPRODUCT(--(LEFT(TO_TEXT(Eventos!B$2:B$1000),10)=A171),--(Eventos!N$2:N$1000&lt;&gt;0),Eventos!M$2:M$1000))"),"")</x:f>
        <x:v>#NAME?</x:v>
      </x:c>
      <x:c r="D171" s="2" t="e">
        <x:f>IFERROR(__xludf.DUMMYFUNCTION("IF(A171="""","""",SUMPRODUCT(--(LEFT(TO_TEXT(Eventos!B$2:B$1000),10)=A171),Eventos!N$2:N$1000))"),"")</x:f>
        <x:v>#NAME?</x:v>
      </x:c>
      <x:c r="E171" s="2" t="str">
        <x:f t="shared" si="2"/>
      </x:c>
      <x:c r="F171" s="2" t="str">
        <x:f t="shared" si="5"/>
      </x:c>
    </x:row>
    <x:row r="172">
      <x:c r="A172" s="2" t="str">
        <x:f t="shared" si="4"/>
      </x:c>
      <x:c r="B172" s="2" t="e">
        <x:f>IFERROR(__xludf.DUMMYFUNCTION("IF(A172="""","""",SUMPRODUCT(--(LEFT(TO_TEXT(Eventos!B$2:B$1000),10)=A172),--(Eventos!N$2:N$1000&lt;&gt;0),Eventos!I$2:I$1000))"),"")</x:f>
        <x:v>#NAME?</x:v>
      </x:c>
      <x:c r="C172" s="2" t="e">
        <x:f>IFERROR(__xludf.DUMMYFUNCTION("IF(A172="""","""",SUMPRODUCT(--(LEFT(TO_TEXT(Eventos!B$2:B$1000),10)=A172),--(Eventos!N$2:N$1000&lt;&gt;0),Eventos!M$2:M$1000))"),"")</x:f>
        <x:v>#NAME?</x:v>
      </x:c>
      <x:c r="D172" s="2" t="e">
        <x:f>IFERROR(__xludf.DUMMYFUNCTION("IF(A172="""","""",SUMPRODUCT(--(LEFT(TO_TEXT(Eventos!B$2:B$1000),10)=A172),Eventos!N$2:N$1000))"),"")</x:f>
        <x:v>#NAME?</x:v>
      </x:c>
      <x:c r="E172" s="2" t="str">
        <x:f t="shared" si="2"/>
      </x:c>
      <x:c r="F172" s="2" t="str">
        <x:f t="shared" si="5"/>
      </x:c>
    </x:row>
    <x:row r="173">
      <x:c r="A173" s="2" t="str">
        <x:f t="shared" si="4"/>
      </x:c>
      <x:c r="B173" s="2" t="e">
        <x:f>IFERROR(__xludf.DUMMYFUNCTION("IF(A173="""","""",SUMPRODUCT(--(LEFT(TO_TEXT(Eventos!B$2:B$1000),10)=A173),--(Eventos!N$2:N$1000&lt;&gt;0),Eventos!I$2:I$1000))"),"")</x:f>
        <x:v>#NAME?</x:v>
      </x:c>
      <x:c r="C173" s="2" t="e">
        <x:f>IFERROR(__xludf.DUMMYFUNCTION("IF(A173="""","""",SUMPRODUCT(--(LEFT(TO_TEXT(Eventos!B$2:B$1000),10)=A173),--(Eventos!N$2:N$1000&lt;&gt;0),Eventos!M$2:M$1000))"),"")</x:f>
        <x:v>#NAME?</x:v>
      </x:c>
      <x:c r="D173" s="2" t="e">
        <x:f>IFERROR(__xludf.DUMMYFUNCTION("IF(A173="""","""",SUMPRODUCT(--(LEFT(TO_TEXT(Eventos!B$2:B$1000),10)=A173),Eventos!N$2:N$1000))"),"")</x:f>
        <x:v>#NAME?</x:v>
      </x:c>
      <x:c r="E173" s="2" t="str">
        <x:f t="shared" si="2"/>
      </x:c>
      <x:c r="F173" s="2" t="str">
        <x:f t="shared" si="5"/>
      </x:c>
    </x:row>
    <x:row r="174">
      <x:c r="A174" s="2" t="str">
        <x:f t="shared" si="4"/>
      </x:c>
      <x:c r="B174" s="2" t="e">
        <x:f>IFERROR(__xludf.DUMMYFUNCTION("IF(A174="""","""",SUMPRODUCT(--(LEFT(TO_TEXT(Eventos!B$2:B$1000),10)=A174),--(Eventos!N$2:N$1000&lt;&gt;0),Eventos!I$2:I$1000))"),"")</x:f>
        <x:v>#NAME?</x:v>
      </x:c>
      <x:c r="C174" s="2" t="e">
        <x:f>IFERROR(__xludf.DUMMYFUNCTION("IF(A174="""","""",SUMPRODUCT(--(LEFT(TO_TEXT(Eventos!B$2:B$1000),10)=A174),--(Eventos!N$2:N$1000&lt;&gt;0),Eventos!M$2:M$1000))"),"")</x:f>
        <x:v>#NAME?</x:v>
      </x:c>
      <x:c r="D174" s="2" t="e">
        <x:f>IFERROR(__xludf.DUMMYFUNCTION("IF(A174="""","""",SUMPRODUCT(--(LEFT(TO_TEXT(Eventos!B$2:B$1000),10)=A174),Eventos!N$2:N$1000))"),"")</x:f>
        <x:v>#NAME?</x:v>
      </x:c>
      <x:c r="E174" s="2" t="str">
        <x:f t="shared" si="2"/>
      </x:c>
      <x:c r="F174" s="2" t="str">
        <x:f t="shared" si="5"/>
      </x:c>
    </x:row>
    <x:row r="175">
      <x:c r="A175" s="2" t="str">
        <x:f t="shared" si="4"/>
      </x:c>
      <x:c r="B175" s="2" t="e">
        <x:f>IFERROR(__xludf.DUMMYFUNCTION("IF(A175="""","""",SUMPRODUCT(--(LEFT(TO_TEXT(Eventos!B$2:B$1000),10)=A175),--(Eventos!N$2:N$1000&lt;&gt;0),Eventos!I$2:I$1000))"),"")</x:f>
        <x:v>#NAME?</x:v>
      </x:c>
      <x:c r="C175" s="2" t="e">
        <x:f>IFERROR(__xludf.DUMMYFUNCTION("IF(A175="""","""",SUMPRODUCT(--(LEFT(TO_TEXT(Eventos!B$2:B$1000),10)=A175),--(Eventos!N$2:N$1000&lt;&gt;0),Eventos!M$2:M$1000))"),"")</x:f>
        <x:v>#NAME?</x:v>
      </x:c>
      <x:c r="D175" s="2" t="e">
        <x:f>IFERROR(__xludf.DUMMYFUNCTION("IF(A175="""","""",SUMPRODUCT(--(LEFT(TO_TEXT(Eventos!B$2:B$1000),10)=A175),Eventos!N$2:N$1000))"),"")</x:f>
        <x:v>#NAME?</x:v>
      </x:c>
      <x:c r="E175" s="2" t="str">
        <x:f t="shared" si="2"/>
      </x:c>
      <x:c r="F175" s="2" t="str">
        <x:f t="shared" si="5"/>
      </x:c>
    </x:row>
    <x:row r="176">
      <x:c r="A176" s="2" t="str">
        <x:f t="shared" si="4"/>
      </x:c>
      <x:c r="B176" s="2" t="e">
        <x:f>IFERROR(__xludf.DUMMYFUNCTION("IF(A176="""","""",SUMPRODUCT(--(LEFT(TO_TEXT(Eventos!B$2:B$1000),10)=A176),--(Eventos!N$2:N$1000&lt;&gt;0),Eventos!I$2:I$1000))"),"")</x:f>
        <x:v>#NAME?</x:v>
      </x:c>
      <x:c r="C176" s="2" t="e">
        <x:f>IFERROR(__xludf.DUMMYFUNCTION("IF(A176="""","""",SUMPRODUCT(--(LEFT(TO_TEXT(Eventos!B$2:B$1000),10)=A176),--(Eventos!N$2:N$1000&lt;&gt;0),Eventos!M$2:M$1000))"),"")</x:f>
        <x:v>#NAME?</x:v>
      </x:c>
      <x:c r="D176" s="2" t="e">
        <x:f>IFERROR(__xludf.DUMMYFUNCTION("IF(A176="""","""",SUMPRODUCT(--(LEFT(TO_TEXT(Eventos!B$2:B$1000),10)=A176),Eventos!N$2:N$1000))"),"")</x:f>
        <x:v>#NAME?</x:v>
      </x:c>
      <x:c r="E176" s="2" t="str">
        <x:f t="shared" si="2"/>
      </x:c>
      <x:c r="F176" s="2" t="str">
        <x:f t="shared" si="5"/>
      </x:c>
    </x:row>
    <x:row r="177">
      <x:c r="A177" s="2" t="str">
        <x:f t="shared" si="4"/>
      </x:c>
      <x:c r="B177" s="2" t="e">
        <x:f>IFERROR(__xludf.DUMMYFUNCTION("IF(A177="""","""",SUMPRODUCT(--(LEFT(TO_TEXT(Eventos!B$2:B$1000),10)=A177),--(Eventos!N$2:N$1000&lt;&gt;0),Eventos!I$2:I$1000))"),"")</x:f>
        <x:v>#NAME?</x:v>
      </x:c>
      <x:c r="C177" s="2" t="e">
        <x:f>IFERROR(__xludf.DUMMYFUNCTION("IF(A177="""","""",SUMPRODUCT(--(LEFT(TO_TEXT(Eventos!B$2:B$1000),10)=A177),--(Eventos!N$2:N$1000&lt;&gt;0),Eventos!M$2:M$1000))"),"")</x:f>
        <x:v>#NAME?</x:v>
      </x:c>
      <x:c r="D177" s="2" t="e">
        <x:f>IFERROR(__xludf.DUMMYFUNCTION("IF(A177="""","""",SUMPRODUCT(--(LEFT(TO_TEXT(Eventos!B$2:B$1000),10)=A177),Eventos!N$2:N$1000))"),"")</x:f>
        <x:v>#NAME?</x:v>
      </x:c>
      <x:c r="E177" s="2" t="str">
        <x:f t="shared" si="2"/>
      </x:c>
      <x:c r="F177" s="2" t="str">
        <x:f t="shared" si="5"/>
      </x:c>
    </x:row>
    <x:row r="178">
      <x:c r="A178" s="2" t="str">
        <x:f t="shared" si="4"/>
      </x:c>
      <x:c r="B178" s="2" t="e">
        <x:f>IFERROR(__xludf.DUMMYFUNCTION("IF(A178="""","""",SUMPRODUCT(--(LEFT(TO_TEXT(Eventos!B$2:B$1000),10)=A178),--(Eventos!N$2:N$1000&lt;&gt;0),Eventos!I$2:I$1000))"),"")</x:f>
        <x:v>#NAME?</x:v>
      </x:c>
      <x:c r="C178" s="2" t="e">
        <x:f>IFERROR(__xludf.DUMMYFUNCTION("IF(A178="""","""",SUMPRODUCT(--(LEFT(TO_TEXT(Eventos!B$2:B$1000),10)=A178),--(Eventos!N$2:N$1000&lt;&gt;0),Eventos!M$2:M$1000))"),"")</x:f>
        <x:v>#NAME?</x:v>
      </x:c>
      <x:c r="D178" s="2" t="e">
        <x:f>IFERROR(__xludf.DUMMYFUNCTION("IF(A178="""","""",SUMPRODUCT(--(LEFT(TO_TEXT(Eventos!B$2:B$1000),10)=A178),Eventos!N$2:N$1000))"),"")</x:f>
        <x:v>#NAME?</x:v>
      </x:c>
      <x:c r="E178" s="2" t="str">
        <x:f t="shared" si="2"/>
      </x:c>
      <x:c r="F178" s="2" t="str">
        <x:f t="shared" si="5"/>
      </x:c>
    </x:row>
    <x:row r="179">
      <x:c r="A179" s="2" t="str">
        <x:f t="shared" si="4"/>
      </x:c>
      <x:c r="B179" s="2" t="e">
        <x:f>IFERROR(__xludf.DUMMYFUNCTION("IF(A179="""","""",SUMPRODUCT(--(LEFT(TO_TEXT(Eventos!B$2:B$1000),10)=A179),--(Eventos!N$2:N$1000&lt;&gt;0),Eventos!I$2:I$1000))"),"")</x:f>
        <x:v>#NAME?</x:v>
      </x:c>
      <x:c r="C179" s="2" t="e">
        <x:f>IFERROR(__xludf.DUMMYFUNCTION("IF(A179="""","""",SUMPRODUCT(--(LEFT(TO_TEXT(Eventos!B$2:B$1000),10)=A179),--(Eventos!N$2:N$1000&lt;&gt;0),Eventos!M$2:M$1000))"),"")</x:f>
        <x:v>#NAME?</x:v>
      </x:c>
      <x:c r="D179" s="2" t="e">
        <x:f>IFERROR(__xludf.DUMMYFUNCTION("IF(A179="""","""",SUMPRODUCT(--(LEFT(TO_TEXT(Eventos!B$2:B$1000),10)=A179),Eventos!N$2:N$1000))"),"")</x:f>
        <x:v>#NAME?</x:v>
      </x:c>
      <x:c r="E179" s="2" t="str">
        <x:f t="shared" si="2"/>
      </x:c>
      <x:c r="F179" s="2" t="str">
        <x:f t="shared" si="5"/>
      </x:c>
    </x:row>
    <x:row r="180">
      <x:c r="A180" s="2" t="str">
        <x:f t="shared" si="4"/>
      </x:c>
      <x:c r="B180" s="2" t="e">
        <x:f>IFERROR(__xludf.DUMMYFUNCTION("IF(A180="""","""",SUMPRODUCT(--(LEFT(TO_TEXT(Eventos!B$2:B$1000),10)=A180),--(Eventos!N$2:N$1000&lt;&gt;0),Eventos!I$2:I$1000))"),"")</x:f>
        <x:v>#NAME?</x:v>
      </x:c>
      <x:c r="C180" s="2" t="e">
        <x:f>IFERROR(__xludf.DUMMYFUNCTION("IF(A180="""","""",SUMPRODUCT(--(LEFT(TO_TEXT(Eventos!B$2:B$1000),10)=A180),--(Eventos!N$2:N$1000&lt;&gt;0),Eventos!M$2:M$1000))"),"")</x:f>
        <x:v>#NAME?</x:v>
      </x:c>
      <x:c r="D180" s="2" t="e">
        <x:f>IFERROR(__xludf.DUMMYFUNCTION("IF(A180="""","""",SUMPRODUCT(--(LEFT(TO_TEXT(Eventos!B$2:B$1000),10)=A180),Eventos!N$2:N$1000))"),"")</x:f>
        <x:v>#NAME?</x:v>
      </x:c>
      <x:c r="E180" s="2" t="str">
        <x:f t="shared" si="2"/>
      </x:c>
      <x:c r="F180" s="2" t="str">
        <x:f t="shared" si="5"/>
      </x:c>
    </x:row>
    <x:row r="181">
      <x:c r="A181" s="2" t="str">
        <x:f t="shared" si="4"/>
      </x:c>
      <x:c r="B181" s="2" t="e">
        <x:f>IFERROR(__xludf.DUMMYFUNCTION("IF(A181="""","""",SUMPRODUCT(--(LEFT(TO_TEXT(Eventos!B$2:B$1000),10)=A181),--(Eventos!N$2:N$1000&lt;&gt;0),Eventos!I$2:I$1000))"),"")</x:f>
        <x:v>#NAME?</x:v>
      </x:c>
      <x:c r="C181" s="2" t="e">
        <x:f>IFERROR(__xludf.DUMMYFUNCTION("IF(A181="""","""",SUMPRODUCT(--(LEFT(TO_TEXT(Eventos!B$2:B$1000),10)=A181),--(Eventos!N$2:N$1000&lt;&gt;0),Eventos!M$2:M$1000))"),"")</x:f>
        <x:v>#NAME?</x:v>
      </x:c>
      <x:c r="D181" s="2" t="e">
        <x:f>IFERROR(__xludf.DUMMYFUNCTION("IF(A181="""","""",SUMPRODUCT(--(LEFT(TO_TEXT(Eventos!B$2:B$1000),10)=A181),Eventos!N$2:N$1000))"),"")</x:f>
        <x:v>#NAME?</x:v>
      </x:c>
      <x:c r="E181" s="2" t="str">
        <x:f t="shared" si="2"/>
      </x:c>
      <x:c r="F181" s="2" t="str">
        <x:f t="shared" si="5"/>
      </x:c>
    </x:row>
    <x:row r="182">
      <x:c r="A182" s="2" t="str">
        <x:f t="shared" si="4"/>
      </x:c>
      <x:c r="B182" s="2" t="e">
        <x:f>IFERROR(__xludf.DUMMYFUNCTION("IF(A182="""","""",SUMPRODUCT(--(LEFT(TO_TEXT(Eventos!B$2:B$1000),10)=A182),--(Eventos!N$2:N$1000&lt;&gt;0),Eventos!I$2:I$1000))"),"")</x:f>
        <x:v>#NAME?</x:v>
      </x:c>
      <x:c r="C182" s="2" t="e">
        <x:f>IFERROR(__xludf.DUMMYFUNCTION("IF(A182="""","""",SUMPRODUCT(--(LEFT(TO_TEXT(Eventos!B$2:B$1000),10)=A182),--(Eventos!N$2:N$1000&lt;&gt;0),Eventos!M$2:M$1000))"),"")</x:f>
        <x:v>#NAME?</x:v>
      </x:c>
      <x:c r="D182" s="2" t="e">
        <x:f>IFERROR(__xludf.DUMMYFUNCTION("IF(A182="""","""",SUMPRODUCT(--(LEFT(TO_TEXT(Eventos!B$2:B$1000),10)=A182),Eventos!N$2:N$1000))"),"")</x:f>
        <x:v>#NAME?</x:v>
      </x:c>
      <x:c r="E182" s="2" t="str">
        <x:f t="shared" si="2"/>
      </x:c>
      <x:c r="F182" s="2" t="str">
        <x:f t="shared" si="5"/>
      </x:c>
    </x:row>
    <x:row r="183">
      <x:c r="A183" s="2" t="str">
        <x:f t="shared" si="4"/>
      </x:c>
      <x:c r="B183" s="2" t="e">
        <x:f>IFERROR(__xludf.DUMMYFUNCTION("IF(A183="""","""",SUMPRODUCT(--(LEFT(TO_TEXT(Eventos!B$2:B$1000),10)=A183),--(Eventos!N$2:N$1000&lt;&gt;0),Eventos!I$2:I$1000))"),"")</x:f>
        <x:v>#NAME?</x:v>
      </x:c>
      <x:c r="C183" s="2" t="e">
        <x:f>IFERROR(__xludf.DUMMYFUNCTION("IF(A183="""","""",SUMPRODUCT(--(LEFT(TO_TEXT(Eventos!B$2:B$1000),10)=A183),--(Eventos!N$2:N$1000&lt;&gt;0),Eventos!M$2:M$1000))"),"")</x:f>
        <x:v>#NAME?</x:v>
      </x:c>
      <x:c r="D183" s="2" t="e">
        <x:f>IFERROR(__xludf.DUMMYFUNCTION("IF(A183="""","""",SUMPRODUCT(--(LEFT(TO_TEXT(Eventos!B$2:B$1000),10)=A183),Eventos!N$2:N$1000))"),"")</x:f>
        <x:v>#NAME?</x:v>
      </x:c>
      <x:c r="E183" s="2" t="str">
        <x:f t="shared" si="2"/>
      </x:c>
      <x:c r="F183" s="2" t="str">
        <x:f t="shared" si="5"/>
      </x:c>
    </x:row>
    <x:row r="184">
      <x:c r="A184" s="2" t="str">
        <x:f t="shared" si="4"/>
      </x:c>
      <x:c r="B184" s="2" t="e">
        <x:f>IFERROR(__xludf.DUMMYFUNCTION("IF(A184="""","""",SUMPRODUCT(--(LEFT(TO_TEXT(Eventos!B$2:B$1000),10)=A184),--(Eventos!N$2:N$1000&lt;&gt;0),Eventos!I$2:I$1000))"),"")</x:f>
        <x:v>#NAME?</x:v>
      </x:c>
      <x:c r="C184" s="2" t="e">
        <x:f>IFERROR(__xludf.DUMMYFUNCTION("IF(A184="""","""",SUMPRODUCT(--(LEFT(TO_TEXT(Eventos!B$2:B$1000),10)=A184),--(Eventos!N$2:N$1000&lt;&gt;0),Eventos!M$2:M$1000))"),"")</x:f>
        <x:v>#NAME?</x:v>
      </x:c>
      <x:c r="D184" s="2" t="e">
        <x:f>IFERROR(__xludf.DUMMYFUNCTION("IF(A184="""","""",SUMPRODUCT(--(LEFT(TO_TEXT(Eventos!B$2:B$1000),10)=A184),Eventos!N$2:N$1000))"),"")</x:f>
        <x:v>#NAME?</x:v>
      </x:c>
      <x:c r="E184" s="2" t="str">
        <x:f t="shared" si="2"/>
      </x:c>
      <x:c r="F184" s="2" t="str">
        <x:f t="shared" si="5"/>
      </x:c>
    </x:row>
    <x:row r="185">
      <x:c r="A185" s="2" t="str">
        <x:f t="shared" si="4"/>
      </x:c>
      <x:c r="B185" s="2" t="e">
        <x:f>IFERROR(__xludf.DUMMYFUNCTION("IF(A185="""","""",SUMPRODUCT(--(LEFT(TO_TEXT(Eventos!B$2:B$1000),10)=A185),--(Eventos!N$2:N$1000&lt;&gt;0),Eventos!I$2:I$1000))"),"")</x:f>
        <x:v>#NAME?</x:v>
      </x:c>
      <x:c r="C185" s="2" t="e">
        <x:f>IFERROR(__xludf.DUMMYFUNCTION("IF(A185="""","""",SUMPRODUCT(--(LEFT(TO_TEXT(Eventos!B$2:B$1000),10)=A185),--(Eventos!N$2:N$1000&lt;&gt;0),Eventos!M$2:M$1000))"),"")</x:f>
        <x:v>#NAME?</x:v>
      </x:c>
      <x:c r="D185" s="2" t="e">
        <x:f>IFERROR(__xludf.DUMMYFUNCTION("IF(A185="""","""",SUMPRODUCT(--(LEFT(TO_TEXT(Eventos!B$2:B$1000),10)=A185),Eventos!N$2:N$1000))"),"")</x:f>
        <x:v>#NAME?</x:v>
      </x:c>
      <x:c r="E185" s="2" t="str">
        <x:f t="shared" si="2"/>
      </x:c>
      <x:c r="F185" s="2" t="str">
        <x:f t="shared" si="5"/>
      </x:c>
    </x:row>
    <x:row r="186">
      <x:c r="A186" s="2" t="str">
        <x:f t="shared" si="4"/>
      </x:c>
      <x:c r="B186" s="2" t="e">
        <x:f>IFERROR(__xludf.DUMMYFUNCTION("IF(A186="""","""",SUMPRODUCT(--(LEFT(TO_TEXT(Eventos!B$2:B$1000),10)=A186),--(Eventos!N$2:N$1000&lt;&gt;0),Eventos!I$2:I$1000))"),"")</x:f>
        <x:v>#NAME?</x:v>
      </x:c>
      <x:c r="C186" s="2" t="e">
        <x:f>IFERROR(__xludf.DUMMYFUNCTION("IF(A186="""","""",SUMPRODUCT(--(LEFT(TO_TEXT(Eventos!B$2:B$1000),10)=A186),--(Eventos!N$2:N$1000&lt;&gt;0),Eventos!M$2:M$1000))"),"")</x:f>
        <x:v>#NAME?</x:v>
      </x:c>
      <x:c r="D186" s="2" t="e">
        <x:f>IFERROR(__xludf.DUMMYFUNCTION("IF(A186="""","""",SUMPRODUCT(--(LEFT(TO_TEXT(Eventos!B$2:B$1000),10)=A186),Eventos!N$2:N$1000))"),"")</x:f>
        <x:v>#NAME?</x:v>
      </x:c>
      <x:c r="E186" s="2" t="str">
        <x:f t="shared" si="2"/>
      </x:c>
      <x:c r="F186" s="2" t="str">
        <x:f t="shared" si="5"/>
      </x:c>
    </x:row>
    <x:row r="187">
      <x:c r="A187" s="2" t="str">
        <x:f t="shared" si="4"/>
      </x:c>
      <x:c r="B187" s="2" t="e">
        <x:f>IFERROR(__xludf.DUMMYFUNCTION("IF(A187="""","""",SUMPRODUCT(--(LEFT(TO_TEXT(Eventos!B$2:B$1000),10)=A187),--(Eventos!N$2:N$1000&lt;&gt;0),Eventos!I$2:I$1000))"),"")</x:f>
        <x:v>#NAME?</x:v>
      </x:c>
      <x:c r="C187" s="2" t="e">
        <x:f>IFERROR(__xludf.DUMMYFUNCTION("IF(A187="""","""",SUMPRODUCT(--(LEFT(TO_TEXT(Eventos!B$2:B$1000),10)=A187),--(Eventos!N$2:N$1000&lt;&gt;0),Eventos!M$2:M$1000))"),"")</x:f>
        <x:v>#NAME?</x:v>
      </x:c>
      <x:c r="D187" s="2" t="e">
        <x:f>IFERROR(__xludf.DUMMYFUNCTION("IF(A187="""","""",SUMPRODUCT(--(LEFT(TO_TEXT(Eventos!B$2:B$1000),10)=A187),Eventos!N$2:N$1000))"),"")</x:f>
        <x:v>#NAME?</x:v>
      </x:c>
      <x:c r="E187" s="2" t="str">
        <x:f t="shared" si="2"/>
      </x:c>
      <x:c r="F187" s="2" t="str">
        <x:f t="shared" si="5"/>
      </x:c>
    </x:row>
    <x:row r="188">
      <x:c r="A188" s="2" t="str">
        <x:f t="shared" si="4"/>
      </x:c>
      <x:c r="B188" s="2" t="e">
        <x:f>IFERROR(__xludf.DUMMYFUNCTION("IF(A188="""","""",SUMPRODUCT(--(LEFT(TO_TEXT(Eventos!B$2:B$1000),10)=A188),--(Eventos!N$2:N$1000&lt;&gt;0),Eventos!I$2:I$1000))"),"")</x:f>
        <x:v>#NAME?</x:v>
      </x:c>
      <x:c r="C188" s="2" t="e">
        <x:f>IFERROR(__xludf.DUMMYFUNCTION("IF(A188="""","""",SUMPRODUCT(--(LEFT(TO_TEXT(Eventos!B$2:B$1000),10)=A188),--(Eventos!N$2:N$1000&lt;&gt;0),Eventos!M$2:M$1000))"),"")</x:f>
        <x:v>#NAME?</x:v>
      </x:c>
      <x:c r="D188" s="2" t="e">
        <x:f>IFERROR(__xludf.DUMMYFUNCTION("IF(A188="""","""",SUMPRODUCT(--(LEFT(TO_TEXT(Eventos!B$2:B$1000),10)=A188),Eventos!N$2:N$1000))"),"")</x:f>
        <x:v>#NAME?</x:v>
      </x:c>
      <x:c r="E188" s="2" t="str">
        <x:f t="shared" si="2"/>
      </x:c>
      <x:c r="F188" s="2" t="str">
        <x:f t="shared" si="5"/>
      </x:c>
    </x:row>
    <x:row r="189">
      <x:c r="A189" s="2" t="str">
        <x:f t="shared" si="4"/>
      </x:c>
      <x:c r="B189" s="2" t="e">
        <x:f>IFERROR(__xludf.DUMMYFUNCTION("IF(A189="""","""",SUMPRODUCT(--(LEFT(TO_TEXT(Eventos!B$2:B$1000),10)=A189),--(Eventos!N$2:N$1000&lt;&gt;0),Eventos!I$2:I$1000))"),"")</x:f>
        <x:v>#NAME?</x:v>
      </x:c>
      <x:c r="C189" s="2" t="e">
        <x:f>IFERROR(__xludf.DUMMYFUNCTION("IF(A189="""","""",SUMPRODUCT(--(LEFT(TO_TEXT(Eventos!B$2:B$1000),10)=A189),--(Eventos!N$2:N$1000&lt;&gt;0),Eventos!M$2:M$1000))"),"")</x:f>
        <x:v>#NAME?</x:v>
      </x:c>
      <x:c r="D189" s="2" t="e">
        <x:f>IFERROR(__xludf.DUMMYFUNCTION("IF(A189="""","""",SUMPRODUCT(--(LEFT(TO_TEXT(Eventos!B$2:B$1000),10)=A189),Eventos!N$2:N$1000))"),"")</x:f>
        <x:v>#NAME?</x:v>
      </x:c>
      <x:c r="E189" s="2" t="str">
        <x:f t="shared" si="2"/>
      </x:c>
      <x:c r="F189" s="2" t="str">
        <x:f t="shared" si="5"/>
      </x:c>
    </x:row>
    <x:row r="190">
      <x:c r="A190" s="2" t="str">
        <x:f t="shared" si="4"/>
      </x:c>
      <x:c r="B190" s="2" t="e">
        <x:f>IFERROR(__xludf.DUMMYFUNCTION("IF(A190="""","""",SUMPRODUCT(--(LEFT(TO_TEXT(Eventos!B$2:B$1000),10)=A190),--(Eventos!N$2:N$1000&lt;&gt;0),Eventos!I$2:I$1000))"),"")</x:f>
        <x:v>#NAME?</x:v>
      </x:c>
      <x:c r="C190" s="2" t="e">
        <x:f>IFERROR(__xludf.DUMMYFUNCTION("IF(A190="""","""",SUMPRODUCT(--(LEFT(TO_TEXT(Eventos!B$2:B$1000),10)=A190),--(Eventos!N$2:N$1000&lt;&gt;0),Eventos!M$2:M$1000))"),"")</x:f>
        <x:v>#NAME?</x:v>
      </x:c>
      <x:c r="D190" s="2" t="e">
        <x:f>IFERROR(__xludf.DUMMYFUNCTION("IF(A190="""","""",SUMPRODUCT(--(LEFT(TO_TEXT(Eventos!B$2:B$1000),10)=A190),Eventos!N$2:N$1000))"),"")</x:f>
        <x:v>#NAME?</x:v>
      </x:c>
      <x:c r="E190" s="2" t="str">
        <x:f t="shared" si="2"/>
      </x:c>
      <x:c r="F190" s="2" t="str">
        <x:f t="shared" si="5"/>
      </x:c>
    </x:row>
    <x:row r="191">
      <x:c r="A191" s="2" t="str">
        <x:f t="shared" si="4"/>
      </x:c>
      <x:c r="B191" s="2" t="e">
        <x:f>IFERROR(__xludf.DUMMYFUNCTION("IF(A191="""","""",SUMPRODUCT(--(LEFT(TO_TEXT(Eventos!B$2:B$1000),10)=A191),--(Eventos!N$2:N$1000&lt;&gt;0),Eventos!I$2:I$1000))"),"")</x:f>
        <x:v>#NAME?</x:v>
      </x:c>
      <x:c r="C191" s="2" t="e">
        <x:f>IFERROR(__xludf.DUMMYFUNCTION("IF(A191="""","""",SUMPRODUCT(--(LEFT(TO_TEXT(Eventos!B$2:B$1000),10)=A191),--(Eventos!N$2:N$1000&lt;&gt;0),Eventos!M$2:M$1000))"),"")</x:f>
        <x:v>#NAME?</x:v>
      </x:c>
      <x:c r="D191" s="2" t="e">
        <x:f>IFERROR(__xludf.DUMMYFUNCTION("IF(A191="""","""",SUMPRODUCT(--(LEFT(TO_TEXT(Eventos!B$2:B$1000),10)=A191),Eventos!N$2:N$1000))"),"")</x:f>
        <x:v>#NAME?</x:v>
      </x:c>
      <x:c r="E191" s="2" t="str">
        <x:f t="shared" si="2"/>
      </x:c>
      <x:c r="F191" s="2" t="str">
        <x:f t="shared" si="5"/>
      </x:c>
    </x:row>
    <x:row r="192">
      <x:c r="A192" s="2" t="str">
        <x:f t="shared" si="4"/>
      </x:c>
      <x:c r="B192" s="2" t="e">
        <x:f>IFERROR(__xludf.DUMMYFUNCTION("IF(A192="""","""",SUMPRODUCT(--(LEFT(TO_TEXT(Eventos!B$2:B$1000),10)=A192),--(Eventos!N$2:N$1000&lt;&gt;0),Eventos!I$2:I$1000))"),"")</x:f>
        <x:v>#NAME?</x:v>
      </x:c>
      <x:c r="C192" s="2" t="e">
        <x:f>IFERROR(__xludf.DUMMYFUNCTION("IF(A192="""","""",SUMPRODUCT(--(LEFT(TO_TEXT(Eventos!B$2:B$1000),10)=A192),--(Eventos!N$2:N$1000&lt;&gt;0),Eventos!M$2:M$1000))"),"")</x:f>
        <x:v>#NAME?</x:v>
      </x:c>
      <x:c r="D192" s="2" t="e">
        <x:f>IFERROR(__xludf.DUMMYFUNCTION("IF(A192="""","""",SUMPRODUCT(--(LEFT(TO_TEXT(Eventos!B$2:B$1000),10)=A192),Eventos!N$2:N$1000))"),"")</x:f>
        <x:v>#NAME?</x:v>
      </x:c>
      <x:c r="E192" s="2" t="str">
        <x:f t="shared" si="2"/>
      </x:c>
      <x:c r="F192" s="2" t="str">
        <x:f t="shared" si="5"/>
      </x:c>
    </x:row>
    <x:row r="193">
      <x:c r="A193" s="2" t="str">
        <x:f t="shared" si="4"/>
      </x:c>
      <x:c r="B193" s="2" t="e">
        <x:f>IFERROR(__xludf.DUMMYFUNCTION("IF(A193="""","""",SUMPRODUCT(--(LEFT(TO_TEXT(Eventos!B$2:B$1000),10)=A193),--(Eventos!N$2:N$1000&lt;&gt;0),Eventos!I$2:I$1000))"),"")</x:f>
        <x:v>#NAME?</x:v>
      </x:c>
      <x:c r="C193" s="2" t="e">
        <x:f>IFERROR(__xludf.DUMMYFUNCTION("IF(A193="""","""",SUMPRODUCT(--(LEFT(TO_TEXT(Eventos!B$2:B$1000),10)=A193),--(Eventos!N$2:N$1000&lt;&gt;0),Eventos!M$2:M$1000))"),"")</x:f>
        <x:v>#NAME?</x:v>
      </x:c>
      <x:c r="D193" s="2" t="e">
        <x:f>IFERROR(__xludf.DUMMYFUNCTION("IF(A193="""","""",SUMPRODUCT(--(LEFT(TO_TEXT(Eventos!B$2:B$1000),10)=A193),Eventos!N$2:N$1000))"),"")</x:f>
        <x:v>#NAME?</x:v>
      </x:c>
      <x:c r="E193" s="2" t="str">
        <x:f t="shared" si="2"/>
      </x:c>
      <x:c r="F193" s="2" t="str">
        <x:f t="shared" si="5"/>
      </x:c>
    </x:row>
    <x:row r="194">
      <x:c r="A194" s="2" t="str">
        <x:f t="shared" si="4"/>
      </x:c>
      <x:c r="B194" s="2" t="e">
        <x:f>IFERROR(__xludf.DUMMYFUNCTION("IF(A194="""","""",SUMPRODUCT(--(LEFT(TO_TEXT(Eventos!B$2:B$1000),10)=A194),--(Eventos!N$2:N$1000&lt;&gt;0),Eventos!I$2:I$1000))"),"")</x:f>
        <x:v>#NAME?</x:v>
      </x:c>
      <x:c r="C194" s="2" t="e">
        <x:f>IFERROR(__xludf.DUMMYFUNCTION("IF(A194="""","""",SUMPRODUCT(--(LEFT(TO_TEXT(Eventos!B$2:B$1000),10)=A194),--(Eventos!N$2:N$1000&lt;&gt;0),Eventos!M$2:M$1000))"),"")</x:f>
        <x:v>#NAME?</x:v>
      </x:c>
      <x:c r="D194" s="2" t="e">
        <x:f>IFERROR(__xludf.DUMMYFUNCTION("IF(A194="""","""",SUMPRODUCT(--(LEFT(TO_TEXT(Eventos!B$2:B$1000),10)=A194),Eventos!N$2:N$1000))"),"")</x:f>
        <x:v>#NAME?</x:v>
      </x:c>
      <x:c r="E194" s="2" t="str">
        <x:f t="shared" si="2"/>
      </x:c>
      <x:c r="F194" s="2" t="str">
        <x:f t="shared" si="5"/>
      </x:c>
    </x:row>
    <x:row r="195">
      <x:c r="A195" s="2" t="str">
        <x:f t="shared" si="4"/>
      </x:c>
      <x:c r="B195" s="2" t="e">
        <x:f>IFERROR(__xludf.DUMMYFUNCTION("IF(A195="""","""",SUMPRODUCT(--(LEFT(TO_TEXT(Eventos!B$2:B$1000),10)=A195),--(Eventos!N$2:N$1000&lt;&gt;0),Eventos!I$2:I$1000))"),"")</x:f>
        <x:v>#NAME?</x:v>
      </x:c>
      <x:c r="C195" s="2" t="e">
        <x:f>IFERROR(__xludf.DUMMYFUNCTION("IF(A195="""","""",SUMPRODUCT(--(LEFT(TO_TEXT(Eventos!B$2:B$1000),10)=A195),--(Eventos!N$2:N$1000&lt;&gt;0),Eventos!M$2:M$1000))"),"")</x:f>
        <x:v>#NAME?</x:v>
      </x:c>
      <x:c r="D195" s="2" t="e">
        <x:f>IFERROR(__xludf.DUMMYFUNCTION("IF(A195="""","""",SUMPRODUCT(--(LEFT(TO_TEXT(Eventos!B$2:B$1000),10)=A195),Eventos!N$2:N$1000))"),"")</x:f>
        <x:v>#NAME?</x:v>
      </x:c>
      <x:c r="E195" s="2" t="str">
        <x:f t="shared" si="2"/>
      </x:c>
      <x:c r="F195" s="2" t="str">
        <x:f t="shared" si="5"/>
      </x:c>
    </x:row>
    <x:row r="196">
      <x:c r="A196" s="2" t="str">
        <x:f t="shared" si="4"/>
      </x:c>
      <x:c r="B196" s="2" t="e">
        <x:f>IFERROR(__xludf.DUMMYFUNCTION("IF(A196="""","""",SUMPRODUCT(--(LEFT(TO_TEXT(Eventos!B$2:B$1000),10)=A196),--(Eventos!N$2:N$1000&lt;&gt;0),Eventos!I$2:I$1000))"),"")</x:f>
        <x:v>#NAME?</x:v>
      </x:c>
      <x:c r="C196" s="2" t="e">
        <x:f>IFERROR(__xludf.DUMMYFUNCTION("IF(A196="""","""",SUMPRODUCT(--(LEFT(TO_TEXT(Eventos!B$2:B$1000),10)=A196),--(Eventos!N$2:N$1000&lt;&gt;0),Eventos!M$2:M$1000))"),"")</x:f>
        <x:v>#NAME?</x:v>
      </x:c>
      <x:c r="D196" s="2" t="e">
        <x:f>IFERROR(__xludf.DUMMYFUNCTION("IF(A196="""","""",SUMPRODUCT(--(LEFT(TO_TEXT(Eventos!B$2:B$1000),10)=A196),Eventos!N$2:N$1000))"),"")</x:f>
        <x:v>#NAME?</x:v>
      </x:c>
      <x:c r="E196" s="2" t="str">
        <x:f t="shared" si="2"/>
      </x:c>
      <x:c r="F196" s="2" t="str">
        <x:f t="shared" si="5"/>
      </x:c>
    </x:row>
    <x:row r="197">
      <x:c r="A197" s="2" t="str">
        <x:f t="shared" si="4"/>
      </x:c>
      <x:c r="B197" s="2" t="e">
        <x:f>IFERROR(__xludf.DUMMYFUNCTION("IF(A197="""","""",SUMPRODUCT(--(LEFT(TO_TEXT(Eventos!B$2:B$1000),10)=A197),--(Eventos!N$2:N$1000&lt;&gt;0),Eventos!I$2:I$1000))"),"")</x:f>
        <x:v>#NAME?</x:v>
      </x:c>
      <x:c r="C197" s="2" t="e">
        <x:f>IFERROR(__xludf.DUMMYFUNCTION("IF(A197="""","""",SUMPRODUCT(--(LEFT(TO_TEXT(Eventos!B$2:B$1000),10)=A197),--(Eventos!N$2:N$1000&lt;&gt;0),Eventos!M$2:M$1000))"),"")</x:f>
        <x:v>#NAME?</x:v>
      </x:c>
      <x:c r="D197" s="2" t="e">
        <x:f>IFERROR(__xludf.DUMMYFUNCTION("IF(A197="""","""",SUMPRODUCT(--(LEFT(TO_TEXT(Eventos!B$2:B$1000),10)=A197),Eventos!N$2:N$1000))"),"")</x:f>
        <x:v>#NAME?</x:v>
      </x:c>
      <x:c r="E197" s="2" t="str">
        <x:f t="shared" si="2"/>
      </x:c>
      <x:c r="F197" s="2" t="str">
        <x:f t="shared" si="5"/>
      </x:c>
    </x:row>
    <x:row r="198">
      <x:c r="A198" s="2" t="str">
        <x:f t="shared" si="4"/>
      </x:c>
      <x:c r="B198" s="2" t="e">
        <x:f>IFERROR(__xludf.DUMMYFUNCTION("IF(A198="""","""",SUMPRODUCT(--(LEFT(TO_TEXT(Eventos!B$2:B$1000),10)=A198),--(Eventos!N$2:N$1000&lt;&gt;0),Eventos!I$2:I$1000))"),"")</x:f>
        <x:v>#NAME?</x:v>
      </x:c>
      <x:c r="C198" s="2" t="e">
        <x:f>IFERROR(__xludf.DUMMYFUNCTION("IF(A198="""","""",SUMPRODUCT(--(LEFT(TO_TEXT(Eventos!B$2:B$1000),10)=A198),--(Eventos!N$2:N$1000&lt;&gt;0),Eventos!M$2:M$1000))"),"")</x:f>
        <x:v>#NAME?</x:v>
      </x:c>
      <x:c r="D198" s="2" t="e">
        <x:f>IFERROR(__xludf.DUMMYFUNCTION("IF(A198="""","""",SUMPRODUCT(--(LEFT(TO_TEXT(Eventos!B$2:B$1000),10)=A198),Eventos!N$2:N$1000))"),"")</x:f>
        <x:v>#NAME?</x:v>
      </x:c>
      <x:c r="E198" s="2" t="str">
        <x:f t="shared" si="2"/>
      </x:c>
      <x:c r="F198" s="2" t="str">
        <x:f t="shared" si="5"/>
      </x:c>
    </x:row>
    <x:row r="199">
      <x:c r="A199" s="2" t="str">
        <x:f t="shared" si="4"/>
      </x:c>
      <x:c r="B199" s="2" t="e">
        <x:f>IFERROR(__xludf.DUMMYFUNCTION("IF(A199="""","""",SUMPRODUCT(--(LEFT(TO_TEXT(Eventos!B$2:B$1000),10)=A199),--(Eventos!N$2:N$1000&lt;&gt;0),Eventos!I$2:I$1000))"),"")</x:f>
        <x:v>#NAME?</x:v>
      </x:c>
      <x:c r="C199" s="2" t="e">
        <x:f>IFERROR(__xludf.DUMMYFUNCTION("IF(A199="""","""",SUMPRODUCT(--(LEFT(TO_TEXT(Eventos!B$2:B$1000),10)=A199),--(Eventos!N$2:N$1000&lt;&gt;0),Eventos!M$2:M$1000))"),"")</x:f>
        <x:v>#NAME?</x:v>
      </x:c>
      <x:c r="D199" s="2" t="e">
        <x:f>IFERROR(__xludf.DUMMYFUNCTION("IF(A199="""","""",SUMPRODUCT(--(LEFT(TO_TEXT(Eventos!B$2:B$1000),10)=A199),Eventos!N$2:N$1000))"),"")</x:f>
        <x:v>#NAME?</x:v>
      </x:c>
      <x:c r="E199" s="2" t="str">
        <x:f t="shared" si="2"/>
      </x:c>
      <x:c r="F199" s="2" t="str">
        <x:f t="shared" si="5"/>
      </x:c>
    </x:row>
    <x:row r="200">
      <x:c r="A200" s="2" t="str">
        <x:f t="shared" si="4"/>
      </x:c>
      <x:c r="B200" s="2" t="e">
        <x:f>IFERROR(__xludf.DUMMYFUNCTION("IF(A200="""","""",SUMPRODUCT(--(LEFT(TO_TEXT(Eventos!B$2:B$1000),10)=A200),--(Eventos!N$2:N$1000&lt;&gt;0),Eventos!I$2:I$1000))"),"")</x:f>
        <x:v>#NAME?</x:v>
      </x:c>
      <x:c r="C200" s="2" t="e">
        <x:f>IFERROR(__xludf.DUMMYFUNCTION("IF(A200="""","""",SUMPRODUCT(--(LEFT(TO_TEXT(Eventos!B$2:B$1000),10)=A200),--(Eventos!N$2:N$1000&lt;&gt;0),Eventos!M$2:M$1000))"),"")</x:f>
        <x:v>#NAME?</x:v>
      </x:c>
      <x:c r="D200" s="2" t="e">
        <x:f>IFERROR(__xludf.DUMMYFUNCTION("IF(A200="""","""",SUMPRODUCT(--(LEFT(TO_TEXT(Eventos!B$2:B$1000),10)=A200),Eventos!N$2:N$1000))"),"")</x:f>
        <x:v>#NAME?</x:v>
      </x:c>
      <x:c r="E200" s="2" t="str">
        <x:f t="shared" si="2"/>
      </x:c>
      <x:c r="F200" s="2" t="str">
        <x:f t="shared" si="5"/>
      </x:c>
    </x:row>
    <x:row r="201">
      <x:c r="A201" s="2" t="str">
        <x:f t="shared" si="4"/>
      </x:c>
      <x:c r="B201" s="2" t="e">
        <x:f>IFERROR(__xludf.DUMMYFUNCTION("IF(A201="""","""",SUMPRODUCT(--(LEFT(TO_TEXT(Eventos!B$2:B$1000),10)=A201),--(Eventos!N$2:N$1000&lt;&gt;0),Eventos!I$2:I$1000))"),"")</x:f>
        <x:v>#NAME?</x:v>
      </x:c>
      <x:c r="C201" s="2" t="e">
        <x:f>IFERROR(__xludf.DUMMYFUNCTION("IF(A201="""","""",SUMPRODUCT(--(LEFT(TO_TEXT(Eventos!B$2:B$1000),10)=A201),--(Eventos!N$2:N$1000&lt;&gt;0),Eventos!M$2:M$1000))"),"")</x:f>
        <x:v>#NAME?</x:v>
      </x:c>
      <x:c r="D201" s="2" t="e">
        <x:f>IFERROR(__xludf.DUMMYFUNCTION("IF(A201="""","""",SUMPRODUCT(--(LEFT(TO_TEXT(Eventos!B$2:B$1000),10)=A201),Eventos!N$2:N$1000))"),"")</x:f>
        <x:v>#NAME?</x:v>
      </x:c>
      <x:c r="E201" s="2" t="str">
        <x:f t="shared" si="2"/>
      </x:c>
      <x:c r="F201" s="2" t="str">
        <x:f t="shared" si="5"/>
      </x:c>
    </x:row>
    <x:row r="202">
      <x:c r="A202" s="2" t="str">
        <x:f t="shared" si="4"/>
      </x:c>
      <x:c r="B202" s="2" t="e">
        <x:f>IFERROR(__xludf.DUMMYFUNCTION("IF(A202="""","""",SUMPRODUCT(--(LEFT(TO_TEXT(Eventos!B$2:B$1000),10)=A202),--(Eventos!N$2:N$1000&lt;&gt;0),Eventos!I$2:I$1000))"),"")</x:f>
        <x:v>#NAME?</x:v>
      </x:c>
      <x:c r="C202" s="2" t="e">
        <x:f>IFERROR(__xludf.DUMMYFUNCTION("IF(A202="""","""",SUMPRODUCT(--(LEFT(TO_TEXT(Eventos!B$2:B$1000),10)=A202),--(Eventos!N$2:N$1000&lt;&gt;0),Eventos!M$2:M$1000))"),"")</x:f>
        <x:v>#NAME?</x:v>
      </x:c>
      <x:c r="D202" s="2" t="e">
        <x:f>IFERROR(__xludf.DUMMYFUNCTION("IF(A202="""","""",SUMPRODUCT(--(LEFT(TO_TEXT(Eventos!B$2:B$1000),10)=A202),Eventos!N$2:N$1000))"),"")</x:f>
        <x:v>#NAME?</x:v>
      </x:c>
      <x:c r="E202" s="2" t="str">
        <x:f t="shared" si="2"/>
      </x:c>
      <x:c r="F202" s="2" t="str">
        <x:f t="shared" si="5"/>
      </x:c>
    </x:row>
    <x:row r="203">
      <x:c r="A203" s="2" t="str">
        <x:f t="shared" si="4"/>
      </x:c>
      <x:c r="B203" s="2" t="e">
        <x:f>IFERROR(__xludf.DUMMYFUNCTION("IF(A203="""","""",SUMPRODUCT(--(LEFT(TO_TEXT(Eventos!B$2:B$1000),10)=A203),--(Eventos!N$2:N$1000&lt;&gt;0),Eventos!I$2:I$1000))"),"")</x:f>
        <x:v>#NAME?</x:v>
      </x:c>
      <x:c r="C203" s="2" t="e">
        <x:f>IFERROR(__xludf.DUMMYFUNCTION("IF(A203="""","""",SUMPRODUCT(--(LEFT(TO_TEXT(Eventos!B$2:B$1000),10)=A203),--(Eventos!N$2:N$1000&lt;&gt;0),Eventos!M$2:M$1000))"),"")</x:f>
        <x:v>#NAME?</x:v>
      </x:c>
      <x:c r="D203" s="2" t="e">
        <x:f>IFERROR(__xludf.DUMMYFUNCTION("IF(A203="""","""",SUMPRODUCT(--(LEFT(TO_TEXT(Eventos!B$2:B$1000),10)=A203),Eventos!N$2:N$1000))"),"")</x:f>
        <x:v>#NAME?</x:v>
      </x:c>
      <x:c r="E203" s="2" t="str">
        <x:f t="shared" si="2"/>
      </x:c>
      <x:c r="F203" s="2" t="str">
        <x:f t="shared" si="5"/>
      </x:c>
    </x:row>
    <x:row r="204">
      <x:c r="A204" s="2" t="str">
        <x:f t="shared" si="4"/>
      </x:c>
      <x:c r="B204" s="2" t="e">
        <x:f>IFERROR(__xludf.DUMMYFUNCTION("IF(A204="""","""",SUMPRODUCT(--(LEFT(TO_TEXT(Eventos!B$2:B$1000),10)=A204),--(Eventos!N$2:N$1000&lt;&gt;0),Eventos!I$2:I$1000))"),"")</x:f>
        <x:v>#NAME?</x:v>
      </x:c>
      <x:c r="C204" s="2" t="e">
        <x:f>IFERROR(__xludf.DUMMYFUNCTION("IF(A204="""","""",SUMPRODUCT(--(LEFT(TO_TEXT(Eventos!B$2:B$1000),10)=A204),--(Eventos!N$2:N$1000&lt;&gt;0),Eventos!M$2:M$1000))"),"")</x:f>
        <x:v>#NAME?</x:v>
      </x:c>
      <x:c r="D204" s="2" t="e">
        <x:f>IFERROR(__xludf.DUMMYFUNCTION("IF(A204="""","""",SUMPRODUCT(--(LEFT(TO_TEXT(Eventos!B$2:B$1000),10)=A204),Eventos!N$2:N$1000))"),"")</x:f>
        <x:v>#NAME?</x:v>
      </x:c>
      <x:c r="E204" s="2" t="str">
        <x:f t="shared" si="2"/>
      </x:c>
      <x:c r="F204" s="2" t="str">
        <x:f t="shared" si="5"/>
      </x:c>
    </x:row>
    <x:row r="205">
      <x:c r="A205" s="2" t="str">
        <x:f t="shared" si="4"/>
      </x:c>
      <x:c r="B205" s="2" t="e">
        <x:f>IFERROR(__xludf.DUMMYFUNCTION("IF(A205="""","""",SUMPRODUCT(--(LEFT(TO_TEXT(Eventos!B$2:B$1000),10)=A205),--(Eventos!N$2:N$1000&lt;&gt;0),Eventos!I$2:I$1000))"),"")</x:f>
        <x:v>#NAME?</x:v>
      </x:c>
      <x:c r="C205" s="2" t="e">
        <x:f>IFERROR(__xludf.DUMMYFUNCTION("IF(A205="""","""",SUMPRODUCT(--(LEFT(TO_TEXT(Eventos!B$2:B$1000),10)=A205),--(Eventos!N$2:N$1000&lt;&gt;0),Eventos!M$2:M$1000))"),"")</x:f>
        <x:v>#NAME?</x:v>
      </x:c>
      <x:c r="D205" s="2" t="e">
        <x:f>IFERROR(__xludf.DUMMYFUNCTION("IF(A205="""","""",SUMPRODUCT(--(LEFT(TO_TEXT(Eventos!B$2:B$1000),10)=A205),Eventos!N$2:N$1000))"),"")</x:f>
        <x:v>#NAME?</x:v>
      </x:c>
      <x:c r="E205" s="2" t="str">
        <x:f t="shared" si="2"/>
      </x:c>
      <x:c r="F205" s="2" t="str">
        <x:f t="shared" si="5"/>
      </x:c>
    </x:row>
    <x:row r="206">
      <x:c r="A206" s="2" t="str">
        <x:f t="shared" si="4"/>
      </x:c>
      <x:c r="B206" s="2" t="e">
        <x:f>IFERROR(__xludf.DUMMYFUNCTION("IF(A206="""","""",SUMPRODUCT(--(LEFT(TO_TEXT(Eventos!B$2:B$1000),10)=A206),--(Eventos!N$2:N$1000&lt;&gt;0),Eventos!I$2:I$1000))"),"")</x:f>
        <x:v>#NAME?</x:v>
      </x:c>
      <x:c r="C206" s="2" t="e">
        <x:f>IFERROR(__xludf.DUMMYFUNCTION("IF(A206="""","""",SUMPRODUCT(--(LEFT(TO_TEXT(Eventos!B$2:B$1000),10)=A206),--(Eventos!N$2:N$1000&lt;&gt;0),Eventos!M$2:M$1000))"),"")</x:f>
        <x:v>#NAME?</x:v>
      </x:c>
      <x:c r="D206" s="2" t="e">
        <x:f>IFERROR(__xludf.DUMMYFUNCTION("IF(A206="""","""",SUMPRODUCT(--(LEFT(TO_TEXT(Eventos!B$2:B$1000),10)=A206),Eventos!N$2:N$1000))"),"")</x:f>
        <x:v>#NAME?</x:v>
      </x:c>
      <x:c r="E206" s="2" t="str">
        <x:f t="shared" si="2"/>
      </x:c>
      <x:c r="F206" s="2" t="str">
        <x:f t="shared" si="5"/>
      </x:c>
    </x:row>
    <x:row r="207">
      <x:c r="A207" s="2" t="str">
        <x:f t="shared" si="4"/>
      </x:c>
      <x:c r="B207" s="2" t="e">
        <x:f>IFERROR(__xludf.DUMMYFUNCTION("IF(A207="""","""",SUMPRODUCT(--(LEFT(TO_TEXT(Eventos!B$2:B$1000),10)=A207),--(Eventos!N$2:N$1000&lt;&gt;0),Eventos!I$2:I$1000))"),"")</x:f>
        <x:v>#NAME?</x:v>
      </x:c>
      <x:c r="C207" s="2" t="e">
        <x:f>IFERROR(__xludf.DUMMYFUNCTION("IF(A207="""","""",SUMPRODUCT(--(LEFT(TO_TEXT(Eventos!B$2:B$1000),10)=A207),--(Eventos!N$2:N$1000&lt;&gt;0),Eventos!M$2:M$1000))"),"")</x:f>
        <x:v>#NAME?</x:v>
      </x:c>
      <x:c r="D207" s="2" t="e">
        <x:f>IFERROR(__xludf.DUMMYFUNCTION("IF(A207="""","""",SUMPRODUCT(--(LEFT(TO_TEXT(Eventos!B$2:B$1000),10)=A207),Eventos!N$2:N$1000))"),"")</x:f>
        <x:v>#NAME?</x:v>
      </x:c>
      <x:c r="E207" s="2" t="str">
        <x:f t="shared" si="2"/>
      </x:c>
      <x:c r="F207" s="2" t="str">
        <x:f t="shared" si="5"/>
      </x:c>
    </x:row>
    <x:row r="208">
      <x:c r="A208" s="2" t="str">
        <x:f t="shared" si="4"/>
      </x:c>
      <x:c r="B208" s="2" t="e">
        <x:f>IFERROR(__xludf.DUMMYFUNCTION("IF(A208="""","""",SUMPRODUCT(--(LEFT(TO_TEXT(Eventos!B$2:B$1000),10)=A208),--(Eventos!N$2:N$1000&lt;&gt;0),Eventos!I$2:I$1000))"),"")</x:f>
        <x:v>#NAME?</x:v>
      </x:c>
      <x:c r="C208" s="2" t="e">
        <x:f>IFERROR(__xludf.DUMMYFUNCTION("IF(A208="""","""",SUMPRODUCT(--(LEFT(TO_TEXT(Eventos!B$2:B$1000),10)=A208),--(Eventos!N$2:N$1000&lt;&gt;0),Eventos!M$2:M$1000))"),"")</x:f>
        <x:v>#NAME?</x:v>
      </x:c>
      <x:c r="D208" s="2" t="e">
        <x:f>IFERROR(__xludf.DUMMYFUNCTION("IF(A208="""","""",SUMPRODUCT(--(LEFT(TO_TEXT(Eventos!B$2:B$1000),10)=A208),Eventos!N$2:N$1000))"),"")</x:f>
        <x:v>#NAME?</x:v>
      </x:c>
      <x:c r="E208" s="2" t="str">
        <x:f t="shared" si="2"/>
      </x:c>
      <x:c r="F208" s="2" t="str">
        <x:f t="shared" si="5"/>
      </x:c>
    </x:row>
    <x:row r="209">
      <x:c r="A209" s="2" t="str">
        <x:f t="shared" si="4"/>
      </x:c>
      <x:c r="B209" s="2" t="e">
        <x:f>IFERROR(__xludf.DUMMYFUNCTION("IF(A209="""","""",SUMPRODUCT(--(LEFT(TO_TEXT(Eventos!B$2:B$1000),10)=A209),--(Eventos!N$2:N$1000&lt;&gt;0),Eventos!I$2:I$1000))"),"")</x:f>
        <x:v>#NAME?</x:v>
      </x:c>
      <x:c r="C209" s="2" t="e">
        <x:f>IFERROR(__xludf.DUMMYFUNCTION("IF(A209="""","""",SUMPRODUCT(--(LEFT(TO_TEXT(Eventos!B$2:B$1000),10)=A209),--(Eventos!N$2:N$1000&lt;&gt;0),Eventos!M$2:M$1000))"),"")</x:f>
        <x:v>#NAME?</x:v>
      </x:c>
      <x:c r="D209" s="2" t="e">
        <x:f>IFERROR(__xludf.DUMMYFUNCTION("IF(A209="""","""",SUMPRODUCT(--(LEFT(TO_TEXT(Eventos!B$2:B$1000),10)=A209),Eventos!N$2:N$1000))"),"")</x:f>
        <x:v>#NAME?</x:v>
      </x:c>
      <x:c r="E209" s="2" t="str">
        <x:f t="shared" si="2"/>
      </x:c>
      <x:c r="F209" s="2" t="str">
        <x:f t="shared" si="5"/>
      </x:c>
    </x:row>
    <x:row r="210">
      <x:c r="A210" s="2" t="str">
        <x:f t="shared" si="4"/>
      </x:c>
      <x:c r="B210" s="2" t="e">
        <x:f>IFERROR(__xludf.DUMMYFUNCTION("IF(A210="""","""",SUMPRODUCT(--(LEFT(TO_TEXT(Eventos!B$2:B$1000),10)=A210),--(Eventos!N$2:N$1000&lt;&gt;0),Eventos!I$2:I$1000))"),"")</x:f>
        <x:v>#NAME?</x:v>
      </x:c>
      <x:c r="C210" s="2" t="e">
        <x:f>IFERROR(__xludf.DUMMYFUNCTION("IF(A210="""","""",SUMPRODUCT(--(LEFT(TO_TEXT(Eventos!B$2:B$1000),10)=A210),--(Eventos!N$2:N$1000&lt;&gt;0),Eventos!M$2:M$1000))"),"")</x:f>
        <x:v>#NAME?</x:v>
      </x:c>
      <x:c r="D210" s="2" t="e">
        <x:f>IFERROR(__xludf.DUMMYFUNCTION("IF(A210="""","""",SUMPRODUCT(--(LEFT(TO_TEXT(Eventos!B$2:B$1000),10)=A210),Eventos!N$2:N$1000))"),"")</x:f>
        <x:v>#NAME?</x:v>
      </x:c>
      <x:c r="E210" s="2" t="str">
        <x:f t="shared" si="2"/>
      </x:c>
      <x:c r="F210" s="2" t="str">
        <x:f t="shared" si="5"/>
      </x:c>
    </x:row>
    <x:row r="211">
      <x:c r="A211" s="2" t="str">
        <x:f t="shared" si="4"/>
      </x:c>
      <x:c r="B211" s="2" t="e">
        <x:f>IFERROR(__xludf.DUMMYFUNCTION("IF(A211="""","""",SUMPRODUCT(--(LEFT(TO_TEXT(Eventos!B$2:B$1000),10)=A211),--(Eventos!N$2:N$1000&lt;&gt;0),Eventos!I$2:I$1000))"),"")</x:f>
        <x:v>#NAME?</x:v>
      </x:c>
      <x:c r="C211" s="2" t="e">
        <x:f>IFERROR(__xludf.DUMMYFUNCTION("IF(A211="""","""",SUMPRODUCT(--(LEFT(TO_TEXT(Eventos!B$2:B$1000),10)=A211),--(Eventos!N$2:N$1000&lt;&gt;0),Eventos!M$2:M$1000))"),"")</x:f>
        <x:v>#NAME?</x:v>
      </x:c>
      <x:c r="D211" s="2" t="e">
        <x:f>IFERROR(__xludf.DUMMYFUNCTION("IF(A211="""","""",SUMPRODUCT(--(LEFT(TO_TEXT(Eventos!B$2:B$1000),10)=A211),Eventos!N$2:N$1000))"),"")</x:f>
        <x:v>#NAME?</x:v>
      </x:c>
      <x:c r="E211" s="2" t="str">
        <x:f t="shared" si="2"/>
      </x:c>
      <x:c r="F211" s="2" t="str">
        <x:f t="shared" si="5"/>
      </x:c>
    </x:row>
    <x:row r="212">
      <x:c r="A212" s="2" t="str">
        <x:f t="shared" si="4"/>
      </x:c>
      <x:c r="B212" s="2" t="e">
        <x:f>IFERROR(__xludf.DUMMYFUNCTION("IF(A212="""","""",SUMPRODUCT(--(LEFT(TO_TEXT(Eventos!B$2:B$1000),10)=A212),--(Eventos!N$2:N$1000&lt;&gt;0),Eventos!I$2:I$1000))"),"")</x:f>
        <x:v>#NAME?</x:v>
      </x:c>
      <x:c r="C212" s="2" t="e">
        <x:f>IFERROR(__xludf.DUMMYFUNCTION("IF(A212="""","""",SUMPRODUCT(--(LEFT(TO_TEXT(Eventos!B$2:B$1000),10)=A212),--(Eventos!N$2:N$1000&lt;&gt;0),Eventos!M$2:M$1000))"),"")</x:f>
        <x:v>#NAME?</x:v>
      </x:c>
      <x:c r="D212" s="2" t="e">
        <x:f>IFERROR(__xludf.DUMMYFUNCTION("IF(A212="""","""",SUMPRODUCT(--(LEFT(TO_TEXT(Eventos!B$2:B$1000),10)=A212),Eventos!N$2:N$1000))"),"")</x:f>
        <x:v>#NAME?</x:v>
      </x:c>
      <x:c r="E212" s="2" t="str">
        <x:f t="shared" si="2"/>
      </x:c>
      <x:c r="F212" s="2" t="str">
        <x:f t="shared" si="5"/>
      </x:c>
    </x:row>
    <x:row r="213">
      <x:c r="A213" s="2" t="str">
        <x:f t="shared" si="4"/>
      </x:c>
      <x:c r="B213" s="2" t="e">
        <x:f>IFERROR(__xludf.DUMMYFUNCTION("IF(A213="""","""",SUMPRODUCT(--(LEFT(TO_TEXT(Eventos!B$2:B$1000),10)=A213),--(Eventos!N$2:N$1000&lt;&gt;0),Eventos!I$2:I$1000))"),"")</x:f>
        <x:v>#NAME?</x:v>
      </x:c>
      <x:c r="C213" s="2" t="e">
        <x:f>IFERROR(__xludf.DUMMYFUNCTION("IF(A213="""","""",SUMPRODUCT(--(LEFT(TO_TEXT(Eventos!B$2:B$1000),10)=A213),--(Eventos!N$2:N$1000&lt;&gt;0),Eventos!M$2:M$1000))"),"")</x:f>
        <x:v>#NAME?</x:v>
      </x:c>
      <x:c r="D213" s="2" t="e">
        <x:f>IFERROR(__xludf.DUMMYFUNCTION("IF(A213="""","""",SUMPRODUCT(--(LEFT(TO_TEXT(Eventos!B$2:B$1000),10)=A213),Eventos!N$2:N$1000))"),"")</x:f>
        <x:v>#NAME?</x:v>
      </x:c>
      <x:c r="E213" s="2" t="str">
        <x:f t="shared" si="2"/>
      </x:c>
      <x:c r="F213" s="2" t="str">
        <x:f t="shared" si="5"/>
      </x:c>
    </x:row>
    <x:row r="214">
      <x:c r="A214" s="2" t="str">
        <x:f t="shared" si="4"/>
      </x:c>
      <x:c r="B214" s="2" t="e">
        <x:f>IFERROR(__xludf.DUMMYFUNCTION("IF(A214="""","""",SUMPRODUCT(--(LEFT(TO_TEXT(Eventos!B$2:B$1000),10)=A214),--(Eventos!N$2:N$1000&lt;&gt;0),Eventos!I$2:I$1000))"),"")</x:f>
        <x:v>#NAME?</x:v>
      </x:c>
      <x:c r="C214" s="2" t="e">
        <x:f>IFERROR(__xludf.DUMMYFUNCTION("IF(A214="""","""",SUMPRODUCT(--(LEFT(TO_TEXT(Eventos!B$2:B$1000),10)=A214),--(Eventos!N$2:N$1000&lt;&gt;0),Eventos!M$2:M$1000))"),"")</x:f>
        <x:v>#NAME?</x:v>
      </x:c>
      <x:c r="D214" s="2" t="e">
        <x:f>IFERROR(__xludf.DUMMYFUNCTION("IF(A214="""","""",SUMPRODUCT(--(LEFT(TO_TEXT(Eventos!B$2:B$1000),10)=A214),Eventos!N$2:N$1000))"),"")</x:f>
        <x:v>#NAME?</x:v>
      </x:c>
      <x:c r="E214" s="2" t="str">
        <x:f t="shared" si="2"/>
      </x:c>
      <x:c r="F214" s="2" t="str">
        <x:f t="shared" si="5"/>
      </x:c>
    </x:row>
    <x:row r="215">
      <x:c r="A215" s="2" t="str">
        <x:f t="shared" si="4"/>
      </x:c>
      <x:c r="B215" s="2" t="e">
        <x:f>IFERROR(__xludf.DUMMYFUNCTION("IF(A215="""","""",SUMPRODUCT(--(LEFT(TO_TEXT(Eventos!B$2:B$1000),10)=A215),--(Eventos!N$2:N$1000&lt;&gt;0),Eventos!I$2:I$1000))"),"")</x:f>
        <x:v>#NAME?</x:v>
      </x:c>
      <x:c r="C215" s="2" t="e">
        <x:f>IFERROR(__xludf.DUMMYFUNCTION("IF(A215="""","""",SUMPRODUCT(--(LEFT(TO_TEXT(Eventos!B$2:B$1000),10)=A215),--(Eventos!N$2:N$1000&lt;&gt;0),Eventos!M$2:M$1000))"),"")</x:f>
        <x:v>#NAME?</x:v>
      </x:c>
      <x:c r="D215" s="2" t="e">
        <x:f>IFERROR(__xludf.DUMMYFUNCTION("IF(A215="""","""",SUMPRODUCT(--(LEFT(TO_TEXT(Eventos!B$2:B$1000),10)=A215),Eventos!N$2:N$1000))"),"")</x:f>
        <x:v>#NAME?</x:v>
      </x:c>
      <x:c r="E215" s="2" t="str">
        <x:f t="shared" si="2"/>
      </x:c>
      <x:c r="F215" s="2" t="str">
        <x:f t="shared" si="5"/>
      </x:c>
    </x:row>
    <x:row r="216">
      <x:c r="A216" s="2" t="str">
        <x:f t="shared" si="4"/>
      </x:c>
      <x:c r="B216" s="2" t="e">
        <x:f>IFERROR(__xludf.DUMMYFUNCTION("IF(A216="""","""",SUMPRODUCT(--(LEFT(TO_TEXT(Eventos!B$2:B$1000),10)=A216),--(Eventos!N$2:N$1000&lt;&gt;0),Eventos!I$2:I$1000))"),"")</x:f>
        <x:v>#NAME?</x:v>
      </x:c>
      <x:c r="C216" s="2" t="e">
        <x:f>IFERROR(__xludf.DUMMYFUNCTION("IF(A216="""","""",SUMPRODUCT(--(LEFT(TO_TEXT(Eventos!B$2:B$1000),10)=A216),--(Eventos!N$2:N$1000&lt;&gt;0),Eventos!M$2:M$1000))"),"")</x:f>
        <x:v>#NAME?</x:v>
      </x:c>
      <x:c r="D216" s="2" t="e">
        <x:f>IFERROR(__xludf.DUMMYFUNCTION("IF(A216="""","""",SUMPRODUCT(--(LEFT(TO_TEXT(Eventos!B$2:B$1000),10)=A216),Eventos!N$2:N$1000))"),"")</x:f>
        <x:v>#NAME?</x:v>
      </x:c>
      <x:c r="E216" s="2" t="str">
        <x:f t="shared" si="2"/>
      </x:c>
      <x:c r="F216" s="2" t="str">
        <x:f t="shared" si="5"/>
      </x:c>
    </x:row>
    <x:row r="217">
      <x:c r="A217" s="2" t="str">
        <x:f t="shared" si="4"/>
      </x:c>
      <x:c r="B217" s="2" t="e">
        <x:f>IFERROR(__xludf.DUMMYFUNCTION("IF(A217="""","""",SUMPRODUCT(--(LEFT(TO_TEXT(Eventos!B$2:B$1000),10)=A217),--(Eventos!N$2:N$1000&lt;&gt;0),Eventos!I$2:I$1000))"),"")</x:f>
        <x:v>#NAME?</x:v>
      </x:c>
      <x:c r="C217" s="2" t="e">
        <x:f>IFERROR(__xludf.DUMMYFUNCTION("IF(A217="""","""",SUMPRODUCT(--(LEFT(TO_TEXT(Eventos!B$2:B$1000),10)=A217),--(Eventos!N$2:N$1000&lt;&gt;0),Eventos!M$2:M$1000))"),"")</x:f>
        <x:v>#NAME?</x:v>
      </x:c>
      <x:c r="D217" s="2" t="e">
        <x:f>IFERROR(__xludf.DUMMYFUNCTION("IF(A217="""","""",SUMPRODUCT(--(LEFT(TO_TEXT(Eventos!B$2:B$1000),10)=A217),Eventos!N$2:N$1000))"),"")</x:f>
        <x:v>#NAME?</x:v>
      </x:c>
      <x:c r="E217" s="2" t="str">
        <x:f t="shared" si="2"/>
      </x:c>
      <x:c r="F217" s="2" t="str">
        <x:f t="shared" si="5"/>
      </x:c>
    </x:row>
    <x:row r="218">
      <x:c r="A218" s="2" t="str">
        <x:f t="shared" si="4"/>
      </x:c>
      <x:c r="B218" s="2" t="e">
        <x:f>IFERROR(__xludf.DUMMYFUNCTION("IF(A218="""","""",SUMPRODUCT(--(LEFT(TO_TEXT(Eventos!B$2:B$1000),10)=A218),--(Eventos!N$2:N$1000&lt;&gt;0),Eventos!I$2:I$1000))"),"")</x:f>
        <x:v>#NAME?</x:v>
      </x:c>
      <x:c r="C218" s="2" t="e">
        <x:f>IFERROR(__xludf.DUMMYFUNCTION("IF(A218="""","""",SUMPRODUCT(--(LEFT(TO_TEXT(Eventos!B$2:B$1000),10)=A218),--(Eventos!N$2:N$1000&lt;&gt;0),Eventos!M$2:M$1000))"),"")</x:f>
        <x:v>#NAME?</x:v>
      </x:c>
      <x:c r="D218" s="2" t="e">
        <x:f>IFERROR(__xludf.DUMMYFUNCTION("IF(A218="""","""",SUMPRODUCT(--(LEFT(TO_TEXT(Eventos!B$2:B$1000),10)=A218),Eventos!N$2:N$1000))"),"")</x:f>
        <x:v>#NAME?</x:v>
      </x:c>
      <x:c r="E218" s="2" t="str">
        <x:f t="shared" si="2"/>
      </x:c>
      <x:c r="F218" s="2" t="str">
        <x:f t="shared" si="5"/>
      </x:c>
    </x:row>
    <x:row r="219">
      <x:c r="A219" s="2" t="str">
        <x:f t="shared" si="4"/>
      </x:c>
      <x:c r="B219" s="2" t="e">
        <x:f>IFERROR(__xludf.DUMMYFUNCTION("IF(A219="""","""",SUMPRODUCT(--(LEFT(TO_TEXT(Eventos!B$2:B$1000),10)=A219),--(Eventos!N$2:N$1000&lt;&gt;0),Eventos!I$2:I$1000))"),"")</x:f>
        <x:v>#NAME?</x:v>
      </x:c>
      <x:c r="C219" s="2" t="e">
        <x:f>IFERROR(__xludf.DUMMYFUNCTION("IF(A219="""","""",SUMPRODUCT(--(LEFT(TO_TEXT(Eventos!B$2:B$1000),10)=A219),--(Eventos!N$2:N$1000&lt;&gt;0),Eventos!M$2:M$1000))"),"")</x:f>
        <x:v>#NAME?</x:v>
      </x:c>
      <x:c r="D219" s="2" t="e">
        <x:f>IFERROR(__xludf.DUMMYFUNCTION("IF(A219="""","""",SUMPRODUCT(--(LEFT(TO_TEXT(Eventos!B$2:B$1000),10)=A219),Eventos!N$2:N$1000))"),"")</x:f>
        <x:v>#NAME?</x:v>
      </x:c>
      <x:c r="E219" s="2" t="str">
        <x:f t="shared" si="2"/>
      </x:c>
      <x:c r="F219" s="2" t="str">
        <x:f t="shared" si="5"/>
      </x:c>
    </x:row>
    <x:row r="220">
      <x:c r="A220" s="2" t="str">
        <x:f t="shared" si="4"/>
      </x:c>
      <x:c r="B220" s="2" t="e">
        <x:f>IFERROR(__xludf.DUMMYFUNCTION("IF(A220="""","""",SUMPRODUCT(--(LEFT(TO_TEXT(Eventos!B$2:B$1000),10)=A220),--(Eventos!N$2:N$1000&lt;&gt;0),Eventos!I$2:I$1000))"),"")</x:f>
        <x:v>#NAME?</x:v>
      </x:c>
      <x:c r="C220" s="2" t="e">
        <x:f>IFERROR(__xludf.DUMMYFUNCTION("IF(A220="""","""",SUMPRODUCT(--(LEFT(TO_TEXT(Eventos!B$2:B$1000),10)=A220),--(Eventos!N$2:N$1000&lt;&gt;0),Eventos!M$2:M$1000))"),"")</x:f>
        <x:v>#NAME?</x:v>
      </x:c>
      <x:c r="D220" s="2" t="e">
        <x:f>IFERROR(__xludf.DUMMYFUNCTION("IF(A220="""","""",SUMPRODUCT(--(LEFT(TO_TEXT(Eventos!B$2:B$1000),10)=A220),Eventos!N$2:N$1000))"),"")</x:f>
        <x:v>#NAME?</x:v>
      </x:c>
      <x:c r="E220" s="2" t="str">
        <x:f t="shared" si="2"/>
      </x:c>
      <x:c r="F220" s="2" t="str">
        <x:f t="shared" si="5"/>
      </x:c>
    </x:row>
    <x:row r="221">
      <x:c r="A221" s="2" t="str">
        <x:f t="shared" si="4"/>
      </x:c>
      <x:c r="B221" s="2" t="e">
        <x:f>IFERROR(__xludf.DUMMYFUNCTION("IF(A221="""","""",SUMPRODUCT(--(LEFT(TO_TEXT(Eventos!B$2:B$1000),10)=A221),--(Eventos!N$2:N$1000&lt;&gt;0),Eventos!I$2:I$1000))"),"")</x:f>
        <x:v>#NAME?</x:v>
      </x:c>
      <x:c r="C221" s="2" t="e">
        <x:f>IFERROR(__xludf.DUMMYFUNCTION("IF(A221="""","""",SUMPRODUCT(--(LEFT(TO_TEXT(Eventos!B$2:B$1000),10)=A221),--(Eventos!N$2:N$1000&lt;&gt;0),Eventos!M$2:M$1000))"),"")</x:f>
        <x:v>#NAME?</x:v>
      </x:c>
      <x:c r="D221" s="2" t="e">
        <x:f>IFERROR(__xludf.DUMMYFUNCTION("IF(A221="""","""",SUMPRODUCT(--(LEFT(TO_TEXT(Eventos!B$2:B$1000),10)=A221),Eventos!N$2:N$1000))"),"")</x:f>
        <x:v>#NAME?</x:v>
      </x:c>
      <x:c r="E221" s="2" t="str">
        <x:f t="shared" si="2"/>
      </x:c>
      <x:c r="F221" s="2" t="str">
        <x:f t="shared" si="5"/>
      </x:c>
    </x:row>
    <x:row r="222">
      <x:c r="A222" s="2" t="str">
        <x:f t="shared" si="4"/>
      </x:c>
      <x:c r="B222" s="2" t="e">
        <x:f>IFERROR(__xludf.DUMMYFUNCTION("IF(A222="""","""",SUMPRODUCT(--(LEFT(TO_TEXT(Eventos!B$2:B$1000),10)=A222),--(Eventos!N$2:N$1000&lt;&gt;0),Eventos!I$2:I$1000))"),"")</x:f>
        <x:v>#NAME?</x:v>
      </x:c>
      <x:c r="C222" s="2" t="e">
        <x:f>IFERROR(__xludf.DUMMYFUNCTION("IF(A222="""","""",SUMPRODUCT(--(LEFT(TO_TEXT(Eventos!B$2:B$1000),10)=A222),--(Eventos!N$2:N$1000&lt;&gt;0),Eventos!M$2:M$1000))"),"")</x:f>
        <x:v>#NAME?</x:v>
      </x:c>
      <x:c r="D222" s="2" t="e">
        <x:f>IFERROR(__xludf.DUMMYFUNCTION("IF(A222="""","""",SUMPRODUCT(--(LEFT(TO_TEXT(Eventos!B$2:B$1000),10)=A222),Eventos!N$2:N$1000))"),"")</x:f>
        <x:v>#NAME?</x:v>
      </x:c>
      <x:c r="E222" s="2" t="str">
        <x:f t="shared" si="2"/>
      </x:c>
      <x:c r="F222" s="2" t="str">
        <x:f t="shared" si="5"/>
      </x:c>
    </x:row>
    <x:row r="223">
      <x:c r="A223" s="2" t="str">
        <x:f t="shared" si="4"/>
      </x:c>
      <x:c r="B223" s="2" t="e">
        <x:f>IFERROR(__xludf.DUMMYFUNCTION("IF(A223="""","""",SUMPRODUCT(--(LEFT(TO_TEXT(Eventos!B$2:B$1000),10)=A223),--(Eventos!N$2:N$1000&lt;&gt;0),Eventos!I$2:I$1000))"),"")</x:f>
        <x:v>#NAME?</x:v>
      </x:c>
      <x:c r="C223" s="2" t="e">
        <x:f>IFERROR(__xludf.DUMMYFUNCTION("IF(A223="""","""",SUMPRODUCT(--(LEFT(TO_TEXT(Eventos!B$2:B$1000),10)=A223),--(Eventos!N$2:N$1000&lt;&gt;0),Eventos!M$2:M$1000))"),"")</x:f>
        <x:v>#NAME?</x:v>
      </x:c>
      <x:c r="D223" s="2" t="e">
        <x:f>IFERROR(__xludf.DUMMYFUNCTION("IF(A223="""","""",SUMPRODUCT(--(LEFT(TO_TEXT(Eventos!B$2:B$1000),10)=A223),Eventos!N$2:N$1000))"),"")</x:f>
        <x:v>#NAME?</x:v>
      </x:c>
      <x:c r="E223" s="2" t="str">
        <x:f t="shared" si="2"/>
      </x:c>
      <x:c r="F223" s="2" t="str">
        <x:f t="shared" si="5"/>
      </x:c>
    </x:row>
    <x:row r="224">
      <x:c r="A224" s="2" t="str">
        <x:f t="shared" si="4"/>
      </x:c>
      <x:c r="B224" s="2" t="e">
        <x:f>IFERROR(__xludf.DUMMYFUNCTION("IF(A224="""","""",SUMPRODUCT(--(LEFT(TO_TEXT(Eventos!B$2:B$1000),10)=A224),--(Eventos!N$2:N$1000&lt;&gt;0),Eventos!I$2:I$1000))"),"")</x:f>
        <x:v>#NAME?</x:v>
      </x:c>
      <x:c r="C224" s="2" t="e">
        <x:f>IFERROR(__xludf.DUMMYFUNCTION("IF(A224="""","""",SUMPRODUCT(--(LEFT(TO_TEXT(Eventos!B$2:B$1000),10)=A224),--(Eventos!N$2:N$1000&lt;&gt;0),Eventos!M$2:M$1000))"),"")</x:f>
        <x:v>#NAME?</x:v>
      </x:c>
      <x:c r="D224" s="2" t="e">
        <x:f>IFERROR(__xludf.DUMMYFUNCTION("IF(A224="""","""",SUMPRODUCT(--(LEFT(TO_TEXT(Eventos!B$2:B$1000),10)=A224),Eventos!N$2:N$1000))"),"")</x:f>
        <x:v>#NAME?</x:v>
      </x:c>
      <x:c r="E224" s="2" t="str">
        <x:f t="shared" si="2"/>
      </x:c>
      <x:c r="F224" s="2" t="str">
        <x:f t="shared" si="5"/>
      </x:c>
    </x:row>
    <x:row r="225">
      <x:c r="A225" s="2" t="str">
        <x:f t="shared" si="4"/>
      </x:c>
      <x:c r="B225" s="2" t="e">
        <x:f>IFERROR(__xludf.DUMMYFUNCTION("IF(A225="""","""",SUMPRODUCT(--(LEFT(TO_TEXT(Eventos!B$2:B$1000),10)=A225),--(Eventos!N$2:N$1000&lt;&gt;0),Eventos!I$2:I$1000))"),"")</x:f>
        <x:v>#NAME?</x:v>
      </x:c>
      <x:c r="C225" s="2" t="e">
        <x:f>IFERROR(__xludf.DUMMYFUNCTION("IF(A225="""","""",SUMPRODUCT(--(LEFT(TO_TEXT(Eventos!B$2:B$1000),10)=A225),--(Eventos!N$2:N$1000&lt;&gt;0),Eventos!M$2:M$1000))"),"")</x:f>
        <x:v>#NAME?</x:v>
      </x:c>
      <x:c r="D225" s="2" t="e">
        <x:f>IFERROR(__xludf.DUMMYFUNCTION("IF(A225="""","""",SUMPRODUCT(--(LEFT(TO_TEXT(Eventos!B$2:B$1000),10)=A225),Eventos!N$2:N$1000))"),"")</x:f>
        <x:v>#NAME?</x:v>
      </x:c>
      <x:c r="E225" s="2" t="str">
        <x:f t="shared" si="2"/>
      </x:c>
      <x:c r="F225" s="2" t="str">
        <x:f t="shared" si="5"/>
      </x:c>
    </x:row>
    <x:row r="226">
      <x:c r="A226" s="2" t="str">
        <x:f t="shared" si="4"/>
      </x:c>
      <x:c r="B226" s="2" t="e">
        <x:f>IFERROR(__xludf.DUMMYFUNCTION("IF(A226="""","""",SUMPRODUCT(--(LEFT(TO_TEXT(Eventos!B$2:B$1000),10)=A226),--(Eventos!N$2:N$1000&lt;&gt;0),Eventos!I$2:I$1000))"),"")</x:f>
        <x:v>#NAME?</x:v>
      </x:c>
      <x:c r="C226" s="2" t="e">
        <x:f>IFERROR(__xludf.DUMMYFUNCTION("IF(A226="""","""",SUMPRODUCT(--(LEFT(TO_TEXT(Eventos!B$2:B$1000),10)=A226),--(Eventos!N$2:N$1000&lt;&gt;0),Eventos!M$2:M$1000))"),"")</x:f>
        <x:v>#NAME?</x:v>
      </x:c>
      <x:c r="D226" s="2" t="e">
        <x:f>IFERROR(__xludf.DUMMYFUNCTION("IF(A226="""","""",SUMPRODUCT(--(LEFT(TO_TEXT(Eventos!B$2:B$1000),10)=A226),Eventos!N$2:N$1000))"),"")</x:f>
        <x:v>#NAME?</x:v>
      </x:c>
      <x:c r="E226" s="2" t="str">
        <x:f t="shared" si="2"/>
      </x:c>
      <x:c r="F226" s="2" t="str">
        <x:f t="shared" si="5"/>
      </x:c>
    </x:row>
    <x:row r="227">
      <x:c r="A227" s="2" t="str">
        <x:f t="shared" si="4"/>
      </x:c>
      <x:c r="B227" s="2" t="e">
        <x:f>IFERROR(__xludf.DUMMYFUNCTION("IF(A227="""","""",SUMPRODUCT(--(LEFT(TO_TEXT(Eventos!B$2:B$1000),10)=A227),--(Eventos!N$2:N$1000&lt;&gt;0),Eventos!I$2:I$1000))"),"")</x:f>
        <x:v>#NAME?</x:v>
      </x:c>
      <x:c r="C227" s="2" t="e">
        <x:f>IFERROR(__xludf.DUMMYFUNCTION("IF(A227="""","""",SUMPRODUCT(--(LEFT(TO_TEXT(Eventos!B$2:B$1000),10)=A227),--(Eventos!N$2:N$1000&lt;&gt;0),Eventos!M$2:M$1000))"),"")</x:f>
        <x:v>#NAME?</x:v>
      </x:c>
      <x:c r="D227" s="2" t="e">
        <x:f>IFERROR(__xludf.DUMMYFUNCTION("IF(A227="""","""",SUMPRODUCT(--(LEFT(TO_TEXT(Eventos!B$2:B$1000),10)=A227),Eventos!N$2:N$1000))"),"")</x:f>
        <x:v>#NAME?</x:v>
      </x:c>
      <x:c r="E227" s="2" t="str">
        <x:f t="shared" si="2"/>
      </x:c>
      <x:c r="F227" s="2" t="str">
        <x:f t="shared" si="5"/>
      </x:c>
    </x:row>
    <x:row r="228">
      <x:c r="A228" s="2" t="str">
        <x:f t="shared" si="4"/>
      </x:c>
      <x:c r="B228" s="2" t="e">
        <x:f>IFERROR(__xludf.DUMMYFUNCTION("IF(A228="""","""",SUMPRODUCT(--(LEFT(TO_TEXT(Eventos!B$2:B$1000),10)=A228),--(Eventos!N$2:N$1000&lt;&gt;0),Eventos!I$2:I$1000))"),"")</x:f>
        <x:v>#NAME?</x:v>
      </x:c>
      <x:c r="C228" s="2" t="e">
        <x:f>IFERROR(__xludf.DUMMYFUNCTION("IF(A228="""","""",SUMPRODUCT(--(LEFT(TO_TEXT(Eventos!B$2:B$1000),10)=A228),--(Eventos!N$2:N$1000&lt;&gt;0),Eventos!M$2:M$1000))"),"")</x:f>
        <x:v>#NAME?</x:v>
      </x:c>
      <x:c r="D228" s="2" t="e">
        <x:f>IFERROR(__xludf.DUMMYFUNCTION("IF(A228="""","""",SUMPRODUCT(--(LEFT(TO_TEXT(Eventos!B$2:B$1000),10)=A228),Eventos!N$2:N$1000))"),"")</x:f>
        <x:v>#NAME?</x:v>
      </x:c>
      <x:c r="E228" s="2" t="str">
        <x:f t="shared" si="2"/>
      </x:c>
      <x:c r="F228" s="2" t="str">
        <x:f t="shared" si="5"/>
      </x:c>
    </x:row>
    <x:row r="229">
      <x:c r="A229" s="2" t="str">
        <x:f t="shared" si="4"/>
      </x:c>
      <x:c r="B229" s="2" t="e">
        <x:f>IFERROR(__xludf.DUMMYFUNCTION("IF(A229="""","""",SUMPRODUCT(--(LEFT(TO_TEXT(Eventos!B$2:B$1000),10)=A229),--(Eventos!N$2:N$1000&lt;&gt;0),Eventos!I$2:I$1000))"),"")</x:f>
        <x:v>#NAME?</x:v>
      </x:c>
      <x:c r="C229" s="2" t="e">
        <x:f>IFERROR(__xludf.DUMMYFUNCTION("IF(A229="""","""",SUMPRODUCT(--(LEFT(TO_TEXT(Eventos!B$2:B$1000),10)=A229),--(Eventos!N$2:N$1000&lt;&gt;0),Eventos!M$2:M$1000))"),"")</x:f>
        <x:v>#NAME?</x:v>
      </x:c>
      <x:c r="D229" s="2" t="e">
        <x:f>IFERROR(__xludf.DUMMYFUNCTION("IF(A229="""","""",SUMPRODUCT(--(LEFT(TO_TEXT(Eventos!B$2:B$1000),10)=A229),Eventos!N$2:N$1000))"),"")</x:f>
        <x:v>#NAME?</x:v>
      </x:c>
      <x:c r="E229" s="2" t="str">
        <x:f t="shared" si="2"/>
      </x:c>
      <x:c r="F229" s="2" t="str">
        <x:f t="shared" si="5"/>
      </x:c>
    </x:row>
    <x:row r="230">
      <x:c r="A230" s="2" t="str">
        <x:f t="shared" si="4"/>
      </x:c>
      <x:c r="B230" s="2" t="e">
        <x:f>IFERROR(__xludf.DUMMYFUNCTION("IF(A230="""","""",SUMPRODUCT(--(LEFT(TO_TEXT(Eventos!B$2:B$1000),10)=A230),--(Eventos!N$2:N$1000&lt;&gt;0),Eventos!I$2:I$1000))"),"")</x:f>
        <x:v>#NAME?</x:v>
      </x:c>
      <x:c r="C230" s="2" t="e">
        <x:f>IFERROR(__xludf.DUMMYFUNCTION("IF(A230="""","""",SUMPRODUCT(--(LEFT(TO_TEXT(Eventos!B$2:B$1000),10)=A230),--(Eventos!N$2:N$1000&lt;&gt;0),Eventos!M$2:M$1000))"),"")</x:f>
        <x:v>#NAME?</x:v>
      </x:c>
      <x:c r="D230" s="2" t="e">
        <x:f>IFERROR(__xludf.DUMMYFUNCTION("IF(A230="""","""",SUMPRODUCT(--(LEFT(TO_TEXT(Eventos!B$2:B$1000),10)=A230),Eventos!N$2:N$1000))"),"")</x:f>
        <x:v>#NAME?</x:v>
      </x:c>
      <x:c r="E230" s="2" t="str">
        <x:f t="shared" si="2"/>
      </x:c>
      <x:c r="F230" s="2" t="str">
        <x:f t="shared" si="5"/>
      </x:c>
    </x:row>
    <x:row r="231">
      <x:c r="A231" s="2" t="str">
        <x:f t="shared" si="4"/>
      </x:c>
      <x:c r="B231" s="2" t="e">
        <x:f>IFERROR(__xludf.DUMMYFUNCTION("IF(A231="""","""",SUMPRODUCT(--(LEFT(TO_TEXT(Eventos!B$2:B$1000),10)=A231),--(Eventos!N$2:N$1000&lt;&gt;0),Eventos!I$2:I$1000))"),"")</x:f>
        <x:v>#NAME?</x:v>
      </x:c>
      <x:c r="C231" s="2" t="e">
        <x:f>IFERROR(__xludf.DUMMYFUNCTION("IF(A231="""","""",SUMPRODUCT(--(LEFT(TO_TEXT(Eventos!B$2:B$1000),10)=A231),--(Eventos!N$2:N$1000&lt;&gt;0),Eventos!M$2:M$1000))"),"")</x:f>
        <x:v>#NAME?</x:v>
      </x:c>
      <x:c r="D231" s="2" t="e">
        <x:f>IFERROR(__xludf.DUMMYFUNCTION("IF(A231="""","""",SUMPRODUCT(--(LEFT(TO_TEXT(Eventos!B$2:B$1000),10)=A231),Eventos!N$2:N$1000))"),"")</x:f>
        <x:v>#NAME?</x:v>
      </x:c>
      <x:c r="E231" s="2" t="str">
        <x:f t="shared" si="2"/>
      </x:c>
      <x:c r="F231" s="2" t="str">
        <x:f t="shared" si="5"/>
      </x:c>
    </x:row>
    <x:row r="232">
      <x:c r="A232" s="2" t="str">
        <x:f t="shared" si="4"/>
      </x:c>
      <x:c r="B232" s="2" t="e">
        <x:f>IFERROR(__xludf.DUMMYFUNCTION("IF(A232="""","""",SUMPRODUCT(--(LEFT(TO_TEXT(Eventos!B$2:B$1000),10)=A232),--(Eventos!N$2:N$1000&lt;&gt;0),Eventos!I$2:I$1000))"),"")</x:f>
        <x:v>#NAME?</x:v>
      </x:c>
      <x:c r="C232" s="2" t="e">
        <x:f>IFERROR(__xludf.DUMMYFUNCTION("IF(A232="""","""",SUMPRODUCT(--(LEFT(TO_TEXT(Eventos!B$2:B$1000),10)=A232),--(Eventos!N$2:N$1000&lt;&gt;0),Eventos!M$2:M$1000))"),"")</x:f>
        <x:v>#NAME?</x:v>
      </x:c>
      <x:c r="D232" s="2" t="e">
        <x:f>IFERROR(__xludf.DUMMYFUNCTION("IF(A232="""","""",SUMPRODUCT(--(LEFT(TO_TEXT(Eventos!B$2:B$1000),10)=A232),Eventos!N$2:N$1000))"),"")</x:f>
        <x:v>#NAME?</x:v>
      </x:c>
      <x:c r="E232" s="2" t="str">
        <x:f t="shared" si="2"/>
      </x:c>
      <x:c r="F232" s="2" t="str">
        <x:f t="shared" si="5"/>
      </x:c>
    </x:row>
    <x:row r="233">
      <x:c r="A233" s="2" t="str">
        <x:f t="shared" si="4"/>
      </x:c>
      <x:c r="B233" s="2" t="e">
        <x:f>IFERROR(__xludf.DUMMYFUNCTION("IF(A233="""","""",SUMPRODUCT(--(LEFT(TO_TEXT(Eventos!B$2:B$1000),10)=A233),--(Eventos!N$2:N$1000&lt;&gt;0),Eventos!I$2:I$1000))"),"")</x:f>
        <x:v>#NAME?</x:v>
      </x:c>
      <x:c r="C233" s="2" t="e">
        <x:f>IFERROR(__xludf.DUMMYFUNCTION("IF(A233="""","""",SUMPRODUCT(--(LEFT(TO_TEXT(Eventos!B$2:B$1000),10)=A233),--(Eventos!N$2:N$1000&lt;&gt;0),Eventos!M$2:M$1000))"),"")</x:f>
        <x:v>#NAME?</x:v>
      </x:c>
      <x:c r="D233" s="2" t="e">
        <x:f>IFERROR(__xludf.DUMMYFUNCTION("IF(A233="""","""",SUMPRODUCT(--(LEFT(TO_TEXT(Eventos!B$2:B$1000),10)=A233),Eventos!N$2:N$1000))"),"")</x:f>
        <x:v>#NAME?</x:v>
      </x:c>
      <x:c r="E233" s="2" t="str">
        <x:f t="shared" si="2"/>
      </x:c>
      <x:c r="F233" s="2" t="str">
        <x:f t="shared" si="5"/>
      </x:c>
    </x:row>
    <x:row r="234">
      <x:c r="A234" s="2" t="str">
        <x:f t="shared" si="4"/>
      </x:c>
      <x:c r="B234" s="2" t="e">
        <x:f>IFERROR(__xludf.DUMMYFUNCTION("IF(A234="""","""",SUMPRODUCT(--(LEFT(TO_TEXT(Eventos!B$2:B$1000),10)=A234),--(Eventos!N$2:N$1000&lt;&gt;0),Eventos!I$2:I$1000))"),"")</x:f>
        <x:v>#NAME?</x:v>
      </x:c>
      <x:c r="C234" s="2" t="e">
        <x:f>IFERROR(__xludf.DUMMYFUNCTION("IF(A234="""","""",SUMPRODUCT(--(LEFT(TO_TEXT(Eventos!B$2:B$1000),10)=A234),--(Eventos!N$2:N$1000&lt;&gt;0),Eventos!M$2:M$1000))"),"")</x:f>
        <x:v>#NAME?</x:v>
      </x:c>
      <x:c r="D234" s="2" t="e">
        <x:f>IFERROR(__xludf.DUMMYFUNCTION("IF(A234="""","""",SUMPRODUCT(--(LEFT(TO_TEXT(Eventos!B$2:B$1000),10)=A234),Eventos!N$2:N$1000))"),"")</x:f>
        <x:v>#NAME?</x:v>
      </x:c>
      <x:c r="E234" s="2" t="str">
        <x:f t="shared" si="2"/>
      </x:c>
      <x:c r="F234" s="2" t="str">
        <x:f t="shared" si="5"/>
      </x:c>
    </x:row>
    <x:row r="235">
      <x:c r="A235" s="2" t="str">
        <x:f t="shared" si="4"/>
      </x:c>
      <x:c r="B235" s="2" t="e">
        <x:f>IFERROR(__xludf.DUMMYFUNCTION("IF(A235="""","""",SUMPRODUCT(--(LEFT(TO_TEXT(Eventos!B$2:B$1000),10)=A235),--(Eventos!N$2:N$1000&lt;&gt;0),Eventos!I$2:I$1000))"),"")</x:f>
        <x:v>#NAME?</x:v>
      </x:c>
      <x:c r="C235" s="2" t="e">
        <x:f>IFERROR(__xludf.DUMMYFUNCTION("IF(A235="""","""",SUMPRODUCT(--(LEFT(TO_TEXT(Eventos!B$2:B$1000),10)=A235),--(Eventos!N$2:N$1000&lt;&gt;0),Eventos!M$2:M$1000))"),"")</x:f>
        <x:v>#NAME?</x:v>
      </x:c>
      <x:c r="D235" s="2" t="e">
        <x:f>IFERROR(__xludf.DUMMYFUNCTION("IF(A235="""","""",SUMPRODUCT(--(LEFT(TO_TEXT(Eventos!B$2:B$1000),10)=A235),Eventos!N$2:N$1000))"),"")</x:f>
        <x:v>#NAME?</x:v>
      </x:c>
      <x:c r="E235" s="2" t="str">
        <x:f t="shared" si="2"/>
      </x:c>
      <x:c r="F235" s="2" t="str">
        <x:f t="shared" si="5"/>
      </x:c>
    </x:row>
    <x:row r="236">
      <x:c r="A236" s="2" t="str">
        <x:f t="shared" si="4"/>
      </x:c>
      <x:c r="B236" s="2" t="e">
        <x:f>IFERROR(__xludf.DUMMYFUNCTION("IF(A236="""","""",SUMPRODUCT(--(LEFT(TO_TEXT(Eventos!B$2:B$1000),10)=A236),--(Eventos!N$2:N$1000&lt;&gt;0),Eventos!I$2:I$1000))"),"")</x:f>
        <x:v>#NAME?</x:v>
      </x:c>
      <x:c r="C236" s="2" t="e">
        <x:f>IFERROR(__xludf.DUMMYFUNCTION("IF(A236="""","""",SUMPRODUCT(--(LEFT(TO_TEXT(Eventos!B$2:B$1000),10)=A236),--(Eventos!N$2:N$1000&lt;&gt;0),Eventos!M$2:M$1000))"),"")</x:f>
        <x:v>#NAME?</x:v>
      </x:c>
      <x:c r="D236" s="2" t="e">
        <x:f>IFERROR(__xludf.DUMMYFUNCTION("IF(A236="""","""",SUMPRODUCT(--(LEFT(TO_TEXT(Eventos!B$2:B$1000),10)=A236),Eventos!N$2:N$1000))"),"")</x:f>
        <x:v>#NAME?</x:v>
      </x:c>
      <x:c r="E236" s="2" t="str">
        <x:f t="shared" si="2"/>
      </x:c>
      <x:c r="F236" s="2" t="str">
        <x:f t="shared" si="5"/>
      </x:c>
    </x:row>
    <x:row r="237">
      <x:c r="A237" s="2" t="str">
        <x:f t="shared" si="4"/>
      </x:c>
      <x:c r="B237" s="2" t="e">
        <x:f>IFERROR(__xludf.DUMMYFUNCTION("IF(A237="""","""",SUMPRODUCT(--(LEFT(TO_TEXT(Eventos!B$2:B$1000),10)=A237),--(Eventos!N$2:N$1000&lt;&gt;0),Eventos!I$2:I$1000))"),"")</x:f>
        <x:v>#NAME?</x:v>
      </x:c>
      <x:c r="C237" s="2" t="e">
        <x:f>IFERROR(__xludf.DUMMYFUNCTION("IF(A237="""","""",SUMPRODUCT(--(LEFT(TO_TEXT(Eventos!B$2:B$1000),10)=A237),--(Eventos!N$2:N$1000&lt;&gt;0),Eventos!M$2:M$1000))"),"")</x:f>
        <x:v>#NAME?</x:v>
      </x:c>
      <x:c r="D237" s="2" t="e">
        <x:f>IFERROR(__xludf.DUMMYFUNCTION("IF(A237="""","""",SUMPRODUCT(--(LEFT(TO_TEXT(Eventos!B$2:B$1000),10)=A237),Eventos!N$2:N$1000))"),"")</x:f>
        <x:v>#NAME?</x:v>
      </x:c>
      <x:c r="E237" s="2" t="str">
        <x:f t="shared" si="2"/>
      </x:c>
      <x:c r="F237" s="2" t="str">
        <x:f t="shared" si="5"/>
      </x:c>
    </x:row>
    <x:row r="238">
      <x:c r="A238" s="2" t="str">
        <x:f t="shared" si="4"/>
      </x:c>
      <x:c r="B238" s="2" t="e">
        <x:f>IFERROR(__xludf.DUMMYFUNCTION("IF(A238="""","""",SUMPRODUCT(--(LEFT(TO_TEXT(Eventos!B$2:B$1000),10)=A238),--(Eventos!N$2:N$1000&lt;&gt;0),Eventos!I$2:I$1000))"),"")</x:f>
        <x:v>#NAME?</x:v>
      </x:c>
      <x:c r="C238" s="2" t="e">
        <x:f>IFERROR(__xludf.DUMMYFUNCTION("IF(A238="""","""",SUMPRODUCT(--(LEFT(TO_TEXT(Eventos!B$2:B$1000),10)=A238),--(Eventos!N$2:N$1000&lt;&gt;0),Eventos!M$2:M$1000))"),"")</x:f>
        <x:v>#NAME?</x:v>
      </x:c>
      <x:c r="D238" s="2" t="e">
        <x:f>IFERROR(__xludf.DUMMYFUNCTION("IF(A238="""","""",SUMPRODUCT(--(LEFT(TO_TEXT(Eventos!B$2:B$1000),10)=A238),Eventos!N$2:N$1000))"),"")</x:f>
        <x:v>#NAME?</x:v>
      </x:c>
      <x:c r="E238" s="2" t="str">
        <x:f t="shared" si="2"/>
      </x:c>
      <x:c r="F238" s="2" t="str">
        <x:f t="shared" si="5"/>
      </x:c>
    </x:row>
    <x:row r="239">
      <x:c r="A239" s="2" t="str">
        <x:f t="shared" si="4"/>
      </x:c>
      <x:c r="B239" s="2" t="e">
        <x:f>IFERROR(__xludf.DUMMYFUNCTION("IF(A239="""","""",SUMPRODUCT(--(LEFT(TO_TEXT(Eventos!B$2:B$1000),10)=A239),--(Eventos!N$2:N$1000&lt;&gt;0),Eventos!I$2:I$1000))"),"")</x:f>
        <x:v>#NAME?</x:v>
      </x:c>
      <x:c r="C239" s="2" t="e">
        <x:f>IFERROR(__xludf.DUMMYFUNCTION("IF(A239="""","""",SUMPRODUCT(--(LEFT(TO_TEXT(Eventos!B$2:B$1000),10)=A239),--(Eventos!N$2:N$1000&lt;&gt;0),Eventos!M$2:M$1000))"),"")</x:f>
        <x:v>#NAME?</x:v>
      </x:c>
      <x:c r="D239" s="2" t="e">
        <x:f>IFERROR(__xludf.DUMMYFUNCTION("IF(A239="""","""",SUMPRODUCT(--(LEFT(TO_TEXT(Eventos!B$2:B$1000),10)=A239),Eventos!N$2:N$1000))"),"")</x:f>
        <x:v>#NAME?</x:v>
      </x:c>
      <x:c r="E239" s="2" t="str">
        <x:f t="shared" si="2"/>
      </x:c>
      <x:c r="F239" s="2" t="str">
        <x:f t="shared" si="5"/>
      </x:c>
    </x:row>
    <x:row r="240">
      <x:c r="A240" s="2" t="str">
        <x:f t="shared" si="4"/>
      </x:c>
      <x:c r="B240" s="2" t="e">
        <x:f>IFERROR(__xludf.DUMMYFUNCTION("IF(A240="""","""",SUMPRODUCT(--(LEFT(TO_TEXT(Eventos!B$2:B$1000),10)=A240),--(Eventos!N$2:N$1000&lt;&gt;0),Eventos!I$2:I$1000))"),"")</x:f>
        <x:v>#NAME?</x:v>
      </x:c>
      <x:c r="C240" s="2" t="e">
        <x:f>IFERROR(__xludf.DUMMYFUNCTION("IF(A240="""","""",SUMPRODUCT(--(LEFT(TO_TEXT(Eventos!B$2:B$1000),10)=A240),--(Eventos!N$2:N$1000&lt;&gt;0),Eventos!M$2:M$1000))"),"")</x:f>
        <x:v>#NAME?</x:v>
      </x:c>
      <x:c r="D240" s="2" t="e">
        <x:f>IFERROR(__xludf.DUMMYFUNCTION("IF(A240="""","""",SUMPRODUCT(--(LEFT(TO_TEXT(Eventos!B$2:B$1000),10)=A240),Eventos!N$2:N$1000))"),"")</x:f>
        <x:v>#NAME?</x:v>
      </x:c>
      <x:c r="E240" s="2" t="str">
        <x:f t="shared" si="2"/>
      </x:c>
      <x:c r="F240" s="2" t="str">
        <x:f t="shared" si="5"/>
      </x:c>
    </x:row>
    <x:row r="241">
      <x:c r="A241" s="2" t="str">
        <x:f t="shared" si="4"/>
      </x:c>
      <x:c r="B241" s="2" t="e">
        <x:f>IFERROR(__xludf.DUMMYFUNCTION("IF(A241="""","""",SUMPRODUCT(--(LEFT(TO_TEXT(Eventos!B$2:B$1000),10)=A241),--(Eventos!N$2:N$1000&lt;&gt;0),Eventos!I$2:I$1000))"),"")</x:f>
        <x:v>#NAME?</x:v>
      </x:c>
      <x:c r="C241" s="2" t="e">
        <x:f>IFERROR(__xludf.DUMMYFUNCTION("IF(A241="""","""",SUMPRODUCT(--(LEFT(TO_TEXT(Eventos!B$2:B$1000),10)=A241),--(Eventos!N$2:N$1000&lt;&gt;0),Eventos!M$2:M$1000))"),"")</x:f>
        <x:v>#NAME?</x:v>
      </x:c>
      <x:c r="D241" s="2" t="e">
        <x:f>IFERROR(__xludf.DUMMYFUNCTION("IF(A241="""","""",SUMPRODUCT(--(LEFT(TO_TEXT(Eventos!B$2:B$1000),10)=A241),Eventos!N$2:N$1000))"),"")</x:f>
        <x:v>#NAME?</x:v>
      </x:c>
      <x:c r="E241" s="2" t="str">
        <x:f t="shared" si="2"/>
      </x:c>
      <x:c r="F241" s="2" t="str">
        <x:f t="shared" si="5"/>
      </x:c>
    </x:row>
    <x:row r="242">
      <x:c r="A242" s="2" t="str">
        <x:f t="shared" si="4"/>
      </x:c>
      <x:c r="B242" s="2" t="e">
        <x:f>IFERROR(__xludf.DUMMYFUNCTION("IF(A242="""","""",SUMPRODUCT(--(LEFT(TO_TEXT(Eventos!B$2:B$1000),10)=A242),--(Eventos!N$2:N$1000&lt;&gt;0),Eventos!I$2:I$1000))"),"")</x:f>
        <x:v>#NAME?</x:v>
      </x:c>
      <x:c r="C242" s="2" t="e">
        <x:f>IFERROR(__xludf.DUMMYFUNCTION("IF(A242="""","""",SUMPRODUCT(--(LEFT(TO_TEXT(Eventos!B$2:B$1000),10)=A242),--(Eventos!N$2:N$1000&lt;&gt;0),Eventos!M$2:M$1000))"),"")</x:f>
        <x:v>#NAME?</x:v>
      </x:c>
      <x:c r="D242" s="2" t="e">
        <x:f>IFERROR(__xludf.DUMMYFUNCTION("IF(A242="""","""",SUMPRODUCT(--(LEFT(TO_TEXT(Eventos!B$2:B$1000),10)=A242),Eventos!N$2:N$1000))"),"")</x:f>
        <x:v>#NAME?</x:v>
      </x:c>
      <x:c r="E242" s="2" t="str">
        <x:f t="shared" si="2"/>
      </x:c>
      <x:c r="F242" s="2" t="str">
        <x:f t="shared" si="5"/>
      </x:c>
    </x:row>
    <x:row r="243">
      <x:c r="A243" s="2" t="str">
        <x:f t="shared" si="4"/>
      </x:c>
      <x:c r="B243" s="2" t="e">
        <x:f>IFERROR(__xludf.DUMMYFUNCTION("IF(A243="""","""",SUMPRODUCT(--(LEFT(TO_TEXT(Eventos!B$2:B$1000),10)=A243),--(Eventos!N$2:N$1000&lt;&gt;0),Eventos!I$2:I$1000))"),"")</x:f>
        <x:v>#NAME?</x:v>
      </x:c>
      <x:c r="C243" s="2" t="e">
        <x:f>IFERROR(__xludf.DUMMYFUNCTION("IF(A243="""","""",SUMPRODUCT(--(LEFT(TO_TEXT(Eventos!B$2:B$1000),10)=A243),--(Eventos!N$2:N$1000&lt;&gt;0),Eventos!M$2:M$1000))"),"")</x:f>
        <x:v>#NAME?</x:v>
      </x:c>
      <x:c r="D243" s="2" t="e">
        <x:f>IFERROR(__xludf.DUMMYFUNCTION("IF(A243="""","""",SUMPRODUCT(--(LEFT(TO_TEXT(Eventos!B$2:B$1000),10)=A243),Eventos!N$2:N$1000))"),"")</x:f>
        <x:v>#NAME?</x:v>
      </x:c>
      <x:c r="E243" s="2" t="str">
        <x:f t="shared" si="2"/>
      </x:c>
      <x:c r="F243" s="2" t="str">
        <x:f t="shared" si="5"/>
      </x:c>
    </x:row>
    <x:row r="244">
      <x:c r="A244" s="2" t="str">
        <x:f t="shared" si="4"/>
      </x:c>
      <x:c r="B244" s="2" t="e">
        <x:f>IFERROR(__xludf.DUMMYFUNCTION("IF(A244="""","""",SUMPRODUCT(--(LEFT(TO_TEXT(Eventos!B$2:B$1000),10)=A244),--(Eventos!N$2:N$1000&lt;&gt;0),Eventos!I$2:I$1000))"),"")</x:f>
        <x:v>#NAME?</x:v>
      </x:c>
      <x:c r="C244" s="2" t="e">
        <x:f>IFERROR(__xludf.DUMMYFUNCTION("IF(A244="""","""",SUMPRODUCT(--(LEFT(TO_TEXT(Eventos!B$2:B$1000),10)=A244),--(Eventos!N$2:N$1000&lt;&gt;0),Eventos!M$2:M$1000))"),"")</x:f>
        <x:v>#NAME?</x:v>
      </x:c>
      <x:c r="D244" s="2" t="e">
        <x:f>IFERROR(__xludf.DUMMYFUNCTION("IF(A244="""","""",SUMPRODUCT(--(LEFT(TO_TEXT(Eventos!B$2:B$1000),10)=A244),Eventos!N$2:N$1000))"),"")</x:f>
        <x:v>#NAME?</x:v>
      </x:c>
      <x:c r="E244" s="2" t="str">
        <x:f t="shared" si="2"/>
      </x:c>
      <x:c r="F244" s="2" t="str">
        <x:f t="shared" si="5"/>
      </x:c>
    </x:row>
    <x:row r="245">
      <x:c r="A245" s="2" t="str">
        <x:f t="shared" si="4"/>
      </x:c>
      <x:c r="B245" s="2" t="e">
        <x:f>IFERROR(__xludf.DUMMYFUNCTION("IF(A245="""","""",SUMPRODUCT(--(LEFT(TO_TEXT(Eventos!B$2:B$1000),10)=A245),--(Eventos!N$2:N$1000&lt;&gt;0),Eventos!I$2:I$1000))"),"")</x:f>
        <x:v>#NAME?</x:v>
      </x:c>
      <x:c r="C245" s="2" t="e">
        <x:f>IFERROR(__xludf.DUMMYFUNCTION("IF(A245="""","""",SUMPRODUCT(--(LEFT(TO_TEXT(Eventos!B$2:B$1000),10)=A245),--(Eventos!N$2:N$1000&lt;&gt;0),Eventos!M$2:M$1000))"),"")</x:f>
        <x:v>#NAME?</x:v>
      </x:c>
      <x:c r="D245" s="2" t="e">
        <x:f>IFERROR(__xludf.DUMMYFUNCTION("IF(A245="""","""",SUMPRODUCT(--(LEFT(TO_TEXT(Eventos!B$2:B$1000),10)=A245),Eventos!N$2:N$1000))"),"")</x:f>
        <x:v>#NAME?</x:v>
      </x:c>
      <x:c r="E245" s="2" t="str">
        <x:f t="shared" si="2"/>
      </x:c>
      <x:c r="F245" s="2" t="str">
        <x:f t="shared" si="5"/>
      </x:c>
    </x:row>
    <x:row r="246">
      <x:c r="A246" s="2" t="str">
        <x:f t="shared" si="4"/>
      </x:c>
      <x:c r="B246" s="2" t="e">
        <x:f>IFERROR(__xludf.DUMMYFUNCTION("IF(A246="""","""",SUMPRODUCT(--(LEFT(TO_TEXT(Eventos!B$2:B$1000),10)=A246),--(Eventos!N$2:N$1000&lt;&gt;0),Eventos!I$2:I$1000))"),"")</x:f>
        <x:v>#NAME?</x:v>
      </x:c>
      <x:c r="C246" s="2" t="e">
        <x:f>IFERROR(__xludf.DUMMYFUNCTION("IF(A246="""","""",SUMPRODUCT(--(LEFT(TO_TEXT(Eventos!B$2:B$1000),10)=A246),--(Eventos!N$2:N$1000&lt;&gt;0),Eventos!M$2:M$1000))"),"")</x:f>
        <x:v>#NAME?</x:v>
      </x:c>
      <x:c r="D246" s="2" t="e">
        <x:f>IFERROR(__xludf.DUMMYFUNCTION("IF(A246="""","""",SUMPRODUCT(--(LEFT(TO_TEXT(Eventos!B$2:B$1000),10)=A246),Eventos!N$2:N$1000))"),"")</x:f>
        <x:v>#NAME?</x:v>
      </x:c>
      <x:c r="E246" s="2" t="str">
        <x:f t="shared" si="2"/>
      </x:c>
      <x:c r="F246" s="2" t="str">
        <x:f t="shared" si="5"/>
      </x:c>
    </x:row>
    <x:row r="247">
      <x:c r="A247" s="2" t="str">
        <x:f t="shared" si="4"/>
      </x:c>
      <x:c r="B247" s="2" t="e">
        <x:f>IFERROR(__xludf.DUMMYFUNCTION("IF(A247="""","""",SUMPRODUCT(--(LEFT(TO_TEXT(Eventos!B$2:B$1000),10)=A247),--(Eventos!N$2:N$1000&lt;&gt;0),Eventos!I$2:I$1000))"),"")</x:f>
        <x:v>#NAME?</x:v>
      </x:c>
      <x:c r="C247" s="2" t="e">
        <x:f>IFERROR(__xludf.DUMMYFUNCTION("IF(A247="""","""",SUMPRODUCT(--(LEFT(TO_TEXT(Eventos!B$2:B$1000),10)=A247),--(Eventos!N$2:N$1000&lt;&gt;0),Eventos!M$2:M$1000))"),"")</x:f>
        <x:v>#NAME?</x:v>
      </x:c>
      <x:c r="D247" s="2" t="e">
        <x:f>IFERROR(__xludf.DUMMYFUNCTION("IF(A247="""","""",SUMPRODUCT(--(LEFT(TO_TEXT(Eventos!B$2:B$1000),10)=A247),Eventos!N$2:N$1000))"),"")</x:f>
        <x:v>#NAME?</x:v>
      </x:c>
      <x:c r="E247" s="2" t="str">
        <x:f t="shared" si="2"/>
      </x:c>
      <x:c r="F247" s="2" t="str">
        <x:f t="shared" si="5"/>
      </x:c>
    </x:row>
    <x:row r="248">
      <x:c r="A248" s="2" t="str">
        <x:f t="shared" si="4"/>
      </x:c>
      <x:c r="B248" s="2" t="e">
        <x:f>IFERROR(__xludf.DUMMYFUNCTION("IF(A248="""","""",SUMPRODUCT(--(LEFT(TO_TEXT(Eventos!B$2:B$1000),10)=A248),--(Eventos!N$2:N$1000&lt;&gt;0),Eventos!I$2:I$1000))"),"")</x:f>
        <x:v>#NAME?</x:v>
      </x:c>
      <x:c r="C248" s="2" t="e">
        <x:f>IFERROR(__xludf.DUMMYFUNCTION("IF(A248="""","""",SUMPRODUCT(--(LEFT(TO_TEXT(Eventos!B$2:B$1000),10)=A248),--(Eventos!N$2:N$1000&lt;&gt;0),Eventos!M$2:M$1000))"),"")</x:f>
        <x:v>#NAME?</x:v>
      </x:c>
      <x:c r="D248" s="2" t="e">
        <x:f>IFERROR(__xludf.DUMMYFUNCTION("IF(A248="""","""",SUMPRODUCT(--(LEFT(TO_TEXT(Eventos!B$2:B$1000),10)=A248),Eventos!N$2:N$1000))"),"")</x:f>
        <x:v>#NAME?</x:v>
      </x:c>
      <x:c r="E248" s="2" t="str">
        <x:f t="shared" si="2"/>
      </x:c>
      <x:c r="F248" s="2" t="str">
        <x:f t="shared" si="5"/>
      </x:c>
    </x:row>
    <x:row r="249">
      <x:c r="A249" s="2" t="str">
        <x:f t="shared" si="4"/>
      </x:c>
      <x:c r="B249" s="2" t="e">
        <x:f>IFERROR(__xludf.DUMMYFUNCTION("IF(A249="""","""",SUMPRODUCT(--(LEFT(TO_TEXT(Eventos!B$2:B$1000),10)=A249),--(Eventos!N$2:N$1000&lt;&gt;0),Eventos!I$2:I$1000))"),"")</x:f>
        <x:v>#NAME?</x:v>
      </x:c>
      <x:c r="C249" s="2" t="e">
        <x:f>IFERROR(__xludf.DUMMYFUNCTION("IF(A249="""","""",SUMPRODUCT(--(LEFT(TO_TEXT(Eventos!B$2:B$1000),10)=A249),--(Eventos!N$2:N$1000&lt;&gt;0),Eventos!M$2:M$1000))"),"")</x:f>
        <x:v>#NAME?</x:v>
      </x:c>
      <x:c r="D249" s="2" t="e">
        <x:f>IFERROR(__xludf.DUMMYFUNCTION("IF(A249="""","""",SUMPRODUCT(--(LEFT(TO_TEXT(Eventos!B$2:B$1000),10)=A249),Eventos!N$2:N$1000))"),"")</x:f>
        <x:v>#NAME?</x:v>
      </x:c>
      <x:c r="E249" s="2" t="str">
        <x:f t="shared" si="2"/>
      </x:c>
      <x:c r="F249" s="2" t="str">
        <x:f t="shared" si="5"/>
      </x:c>
    </x:row>
    <x:row r="250">
      <x:c r="A250" s="2" t="str">
        <x:f t="shared" si="4"/>
      </x:c>
      <x:c r="B250" s="2" t="e">
        <x:f>IFERROR(__xludf.DUMMYFUNCTION("IF(A250="""","""",SUMPRODUCT(--(LEFT(TO_TEXT(Eventos!B$2:B$1000),10)=A250),--(Eventos!N$2:N$1000&lt;&gt;0),Eventos!I$2:I$1000))"),"")</x:f>
        <x:v>#NAME?</x:v>
      </x:c>
      <x:c r="C250" s="2" t="e">
        <x:f>IFERROR(__xludf.DUMMYFUNCTION("IF(A250="""","""",SUMPRODUCT(--(LEFT(TO_TEXT(Eventos!B$2:B$1000),10)=A250),--(Eventos!N$2:N$1000&lt;&gt;0),Eventos!M$2:M$1000))"),"")</x:f>
        <x:v>#NAME?</x:v>
      </x:c>
      <x:c r="D250" s="2" t="e">
        <x:f>IFERROR(__xludf.DUMMYFUNCTION("IF(A250="""","""",SUMPRODUCT(--(LEFT(TO_TEXT(Eventos!B$2:B$1000),10)=A250),Eventos!N$2:N$1000))"),"")</x:f>
        <x:v>#NAME?</x:v>
      </x:c>
      <x:c r="E250" s="2" t="str">
        <x:f t="shared" si="2"/>
      </x:c>
      <x:c r="F250" s="2" t="str">
        <x:f t="shared" si="5"/>
      </x:c>
    </x:row>
    <x:row r="251">
      <x:c r="A251" s="2" t="str">
        <x:f t="shared" si="4"/>
      </x:c>
      <x:c r="B251" s="2" t="e">
        <x:f>IFERROR(__xludf.DUMMYFUNCTION("IF(A251="""","""",SUMPRODUCT(--(LEFT(TO_TEXT(Eventos!B$2:B$1000),10)=A251),--(Eventos!N$2:N$1000&lt;&gt;0),Eventos!I$2:I$1000))"),"")</x:f>
        <x:v>#NAME?</x:v>
      </x:c>
      <x:c r="C251" s="2" t="e">
        <x:f>IFERROR(__xludf.DUMMYFUNCTION("IF(A251="""","""",SUMPRODUCT(--(LEFT(TO_TEXT(Eventos!B$2:B$1000),10)=A251),--(Eventos!N$2:N$1000&lt;&gt;0),Eventos!M$2:M$1000))"),"")</x:f>
        <x:v>#NAME?</x:v>
      </x:c>
      <x:c r="D251" s="2" t="e">
        <x:f>IFERROR(__xludf.DUMMYFUNCTION("IF(A251="""","""",SUMPRODUCT(--(LEFT(TO_TEXT(Eventos!B$2:B$1000),10)=A251),Eventos!N$2:N$1000))"),"")</x:f>
        <x:v>#NAME?</x:v>
      </x:c>
      <x:c r="E251" s="2" t="str">
        <x:f t="shared" si="2"/>
      </x:c>
      <x:c r="F251" s="2" t="str">
        <x:f t="shared" si="5"/>
      </x:c>
    </x:row>
    <x:row r="252">
      <x:c r="A252" s="2" t="str">
        <x:f t="shared" si="4"/>
      </x:c>
      <x:c r="B252" s="2" t="e">
        <x:f>IFERROR(__xludf.DUMMYFUNCTION("IF(A252="""","""",SUMPRODUCT(--(LEFT(TO_TEXT(Eventos!B$2:B$1000),10)=A252),--(Eventos!N$2:N$1000&lt;&gt;0),Eventos!I$2:I$1000))"),"")</x:f>
        <x:v>#NAME?</x:v>
      </x:c>
      <x:c r="C252" s="2" t="e">
        <x:f>IFERROR(__xludf.DUMMYFUNCTION("IF(A252="""","""",SUMPRODUCT(--(LEFT(TO_TEXT(Eventos!B$2:B$1000),10)=A252),--(Eventos!N$2:N$1000&lt;&gt;0),Eventos!M$2:M$1000))"),"")</x:f>
        <x:v>#NAME?</x:v>
      </x:c>
      <x:c r="D252" s="2" t="e">
        <x:f>IFERROR(__xludf.DUMMYFUNCTION("IF(A252="""","""",SUMPRODUCT(--(LEFT(TO_TEXT(Eventos!B$2:B$1000),10)=A252),Eventos!N$2:N$1000))"),"")</x:f>
        <x:v>#NAME?</x:v>
      </x:c>
      <x:c r="E252" s="2" t="str">
        <x:f t="shared" si="2"/>
      </x:c>
      <x:c r="F252" s="2" t="str">
        <x:f t="shared" si="5"/>
      </x:c>
    </x:row>
    <x:row r="253">
      <x:c r="A253" s="2" t="str">
        <x:f t="shared" si="4"/>
      </x:c>
      <x:c r="B253" s="2" t="e">
        <x:f>IFERROR(__xludf.DUMMYFUNCTION("IF(A253="""","""",SUMPRODUCT(--(LEFT(TO_TEXT(Eventos!B$2:B$1000),10)=A253),--(Eventos!N$2:N$1000&lt;&gt;0),Eventos!I$2:I$1000))"),"")</x:f>
        <x:v>#NAME?</x:v>
      </x:c>
      <x:c r="C253" s="2" t="e">
        <x:f>IFERROR(__xludf.DUMMYFUNCTION("IF(A253="""","""",SUMPRODUCT(--(LEFT(TO_TEXT(Eventos!B$2:B$1000),10)=A253),--(Eventos!N$2:N$1000&lt;&gt;0),Eventos!M$2:M$1000))"),"")</x:f>
        <x:v>#NAME?</x:v>
      </x:c>
      <x:c r="D253" s="2" t="e">
        <x:f>IFERROR(__xludf.DUMMYFUNCTION("IF(A253="""","""",SUMPRODUCT(--(LEFT(TO_TEXT(Eventos!B$2:B$1000),10)=A253),Eventos!N$2:N$1000))"),"")</x:f>
        <x:v>#NAME?</x:v>
      </x:c>
      <x:c r="E253" s="2" t="str">
        <x:f t="shared" si="2"/>
      </x:c>
      <x:c r="F253" s="2" t="str">
        <x:f t="shared" si="5"/>
      </x:c>
    </x:row>
    <x:row r="254">
      <x:c r="A254" s="2" t="str">
        <x:f t="shared" si="4"/>
      </x:c>
      <x:c r="B254" s="2" t="e">
        <x:f>IFERROR(__xludf.DUMMYFUNCTION("IF(A254="""","""",SUMPRODUCT(--(LEFT(TO_TEXT(Eventos!B$2:B$1000),10)=A254),--(Eventos!N$2:N$1000&lt;&gt;0),Eventos!I$2:I$1000))"),"")</x:f>
        <x:v>#NAME?</x:v>
      </x:c>
      <x:c r="C254" s="2" t="e">
        <x:f>IFERROR(__xludf.DUMMYFUNCTION("IF(A254="""","""",SUMPRODUCT(--(LEFT(TO_TEXT(Eventos!B$2:B$1000),10)=A254),--(Eventos!N$2:N$1000&lt;&gt;0),Eventos!M$2:M$1000))"),"")</x:f>
        <x:v>#NAME?</x:v>
      </x:c>
      <x:c r="D254" s="2" t="e">
        <x:f>IFERROR(__xludf.DUMMYFUNCTION("IF(A254="""","""",SUMPRODUCT(--(LEFT(TO_TEXT(Eventos!B$2:B$1000),10)=A254),Eventos!N$2:N$1000))"),"")</x:f>
        <x:v>#NAME?</x:v>
      </x:c>
      <x:c r="E254" s="2" t="str">
        <x:f t="shared" si="2"/>
      </x:c>
      <x:c r="F254" s="2" t="str">
        <x:f t="shared" si="5"/>
      </x:c>
    </x:row>
    <x:row r="255">
      <x:c r="A255" s="2" t="str">
        <x:f t="shared" si="4"/>
      </x:c>
      <x:c r="B255" s="2" t="e">
        <x:f>IFERROR(__xludf.DUMMYFUNCTION("IF(A255="""","""",SUMPRODUCT(--(LEFT(TO_TEXT(Eventos!B$2:B$1000),10)=A255),--(Eventos!N$2:N$1000&lt;&gt;0),Eventos!I$2:I$1000))"),"")</x:f>
        <x:v>#NAME?</x:v>
      </x:c>
      <x:c r="C255" s="2" t="e">
        <x:f>IFERROR(__xludf.DUMMYFUNCTION("IF(A255="""","""",SUMPRODUCT(--(LEFT(TO_TEXT(Eventos!B$2:B$1000),10)=A255),--(Eventos!N$2:N$1000&lt;&gt;0),Eventos!M$2:M$1000))"),"")</x:f>
        <x:v>#NAME?</x:v>
      </x:c>
      <x:c r="D255" s="2" t="e">
        <x:f>IFERROR(__xludf.DUMMYFUNCTION("IF(A255="""","""",SUMPRODUCT(--(LEFT(TO_TEXT(Eventos!B$2:B$1000),10)=A255),Eventos!N$2:N$1000))"),"")</x:f>
        <x:v>#NAME?</x:v>
      </x:c>
      <x:c r="E255" s="2" t="str">
        <x:f t="shared" si="2"/>
      </x:c>
      <x:c r="F255" s="2" t="str">
        <x:f t="shared" si="5"/>
      </x:c>
    </x:row>
    <x:row r="256">
      <x:c r="A256" s="2" t="str">
        <x:f t="shared" si="4"/>
      </x:c>
      <x:c r="B256" s="2" t="e">
        <x:f>IFERROR(__xludf.DUMMYFUNCTION("IF(A256="""","""",SUMPRODUCT(--(LEFT(TO_TEXT(Eventos!B$2:B$1000),10)=A256),--(Eventos!N$2:N$1000&lt;&gt;0),Eventos!I$2:I$1000))"),"")</x:f>
        <x:v>#NAME?</x:v>
      </x:c>
      <x:c r="C256" s="2" t="e">
        <x:f>IFERROR(__xludf.DUMMYFUNCTION("IF(A256="""","""",SUMPRODUCT(--(LEFT(TO_TEXT(Eventos!B$2:B$1000),10)=A256),--(Eventos!N$2:N$1000&lt;&gt;0),Eventos!M$2:M$1000))"),"")</x:f>
        <x:v>#NAME?</x:v>
      </x:c>
      <x:c r="D256" s="2" t="e">
        <x:f>IFERROR(__xludf.DUMMYFUNCTION("IF(A256="""","""",SUMPRODUCT(--(LEFT(TO_TEXT(Eventos!B$2:B$1000),10)=A256),Eventos!N$2:N$1000))"),"")</x:f>
        <x:v>#NAME?</x:v>
      </x:c>
      <x:c r="E256" s="2" t="str">
        <x:f t="shared" si="2"/>
      </x:c>
      <x:c r="F256" s="2" t="str">
        <x:f t="shared" si="5"/>
      </x:c>
    </x:row>
    <x:row r="257">
      <x:c r="A257" s="2" t="str">
        <x:f t="shared" si="4"/>
      </x:c>
      <x:c r="B257" s="2" t="e">
        <x:f>IFERROR(__xludf.DUMMYFUNCTION("IF(A257="""","""",SUMPRODUCT(--(LEFT(TO_TEXT(Eventos!B$2:B$1000),10)=A257),--(Eventos!N$2:N$1000&lt;&gt;0),Eventos!I$2:I$1000))"),"")</x:f>
        <x:v>#NAME?</x:v>
      </x:c>
      <x:c r="C257" s="2" t="e">
        <x:f>IFERROR(__xludf.DUMMYFUNCTION("IF(A257="""","""",SUMPRODUCT(--(LEFT(TO_TEXT(Eventos!B$2:B$1000),10)=A257),--(Eventos!N$2:N$1000&lt;&gt;0),Eventos!M$2:M$1000))"),"")</x:f>
        <x:v>#NAME?</x:v>
      </x:c>
      <x:c r="D257" s="2" t="e">
        <x:f>IFERROR(__xludf.DUMMYFUNCTION("IF(A257="""","""",SUMPRODUCT(--(LEFT(TO_TEXT(Eventos!B$2:B$1000),10)=A257),Eventos!N$2:N$1000))"),"")</x:f>
        <x:v>#NAME?</x:v>
      </x:c>
      <x:c r="E257" s="2" t="str">
        <x:f t="shared" si="2"/>
      </x:c>
      <x:c r="F257" s="2" t="str">
        <x:f t="shared" si="5"/>
      </x:c>
    </x:row>
    <x:row r="258">
      <x:c r="A258" s="2" t="str">
        <x:f t="shared" si="4"/>
      </x:c>
      <x:c r="B258" s="2" t="e">
        <x:f>IFERROR(__xludf.DUMMYFUNCTION("IF(A258="""","""",SUMPRODUCT(--(LEFT(TO_TEXT(Eventos!B$2:B$1000),10)=A258),--(Eventos!N$2:N$1000&lt;&gt;0),Eventos!I$2:I$1000))"),"")</x:f>
        <x:v>#NAME?</x:v>
      </x:c>
      <x:c r="C258" s="2" t="e">
        <x:f>IFERROR(__xludf.DUMMYFUNCTION("IF(A258="""","""",SUMPRODUCT(--(LEFT(TO_TEXT(Eventos!B$2:B$1000),10)=A258),--(Eventos!N$2:N$1000&lt;&gt;0),Eventos!M$2:M$1000))"),"")</x:f>
        <x:v>#NAME?</x:v>
      </x:c>
      <x:c r="D258" s="2" t="e">
        <x:f>IFERROR(__xludf.DUMMYFUNCTION("IF(A258="""","""",SUMPRODUCT(--(LEFT(TO_TEXT(Eventos!B$2:B$1000),10)=A258),Eventos!N$2:N$1000))"),"")</x:f>
        <x:v>#NAME?</x:v>
      </x:c>
      <x:c r="E258" s="2" t="str">
        <x:f t="shared" si="2"/>
      </x:c>
      <x:c r="F258" s="2" t="str">
        <x:f t="shared" si="5"/>
      </x:c>
    </x:row>
    <x:row r="259">
      <x:c r="A259" s="2" t="str">
        <x:f t="shared" si="4"/>
      </x:c>
      <x:c r="B259" s="2" t="e">
        <x:f>IFERROR(__xludf.DUMMYFUNCTION("IF(A259="""","""",SUMPRODUCT(--(LEFT(TO_TEXT(Eventos!B$2:B$1000),10)=A259),--(Eventos!N$2:N$1000&lt;&gt;0),Eventos!I$2:I$1000))"),"")</x:f>
        <x:v>#NAME?</x:v>
      </x:c>
      <x:c r="C259" s="2" t="e">
        <x:f>IFERROR(__xludf.DUMMYFUNCTION("IF(A259="""","""",SUMPRODUCT(--(LEFT(TO_TEXT(Eventos!B$2:B$1000),10)=A259),--(Eventos!N$2:N$1000&lt;&gt;0),Eventos!M$2:M$1000))"),"")</x:f>
        <x:v>#NAME?</x:v>
      </x:c>
      <x:c r="D259" s="2" t="e">
        <x:f>IFERROR(__xludf.DUMMYFUNCTION("IF(A259="""","""",SUMPRODUCT(--(LEFT(TO_TEXT(Eventos!B$2:B$1000),10)=A259),Eventos!N$2:N$1000))"),"")</x:f>
        <x:v>#NAME?</x:v>
      </x:c>
      <x:c r="E259" s="2" t="str">
        <x:f t="shared" si="2"/>
      </x:c>
      <x:c r="F259" s="2" t="str">
        <x:f t="shared" si="5"/>
      </x:c>
    </x:row>
    <x:row r="260">
      <x:c r="A260" s="2" t="str">
        <x:f t="shared" si="4"/>
      </x:c>
      <x:c r="B260" s="2" t="e">
        <x:f>IFERROR(__xludf.DUMMYFUNCTION("IF(A260="""","""",SUMPRODUCT(--(LEFT(TO_TEXT(Eventos!B$2:B$1000),10)=A260),--(Eventos!N$2:N$1000&lt;&gt;0),Eventos!I$2:I$1000))"),"")</x:f>
        <x:v>#NAME?</x:v>
      </x:c>
      <x:c r="C260" s="2" t="e">
        <x:f>IFERROR(__xludf.DUMMYFUNCTION("IF(A260="""","""",SUMPRODUCT(--(LEFT(TO_TEXT(Eventos!B$2:B$1000),10)=A260),--(Eventos!N$2:N$1000&lt;&gt;0),Eventos!M$2:M$1000))"),"")</x:f>
        <x:v>#NAME?</x:v>
      </x:c>
      <x:c r="D260" s="2" t="e">
        <x:f>IFERROR(__xludf.DUMMYFUNCTION("IF(A260="""","""",SUMPRODUCT(--(LEFT(TO_TEXT(Eventos!B$2:B$1000),10)=A260),Eventos!N$2:N$1000))"),"")</x:f>
        <x:v>#NAME?</x:v>
      </x:c>
      <x:c r="E260" s="2" t="str">
        <x:f t="shared" si="2"/>
      </x:c>
      <x:c r="F260" s="2" t="str">
        <x:f t="shared" si="5"/>
      </x:c>
    </x:row>
    <x:row r="261">
      <x:c r="A261" s="2" t="str">
        <x:f t="shared" si="4"/>
      </x:c>
      <x:c r="B261" s="2" t="e">
        <x:f>IFERROR(__xludf.DUMMYFUNCTION("IF(A261="""","""",SUMPRODUCT(--(LEFT(TO_TEXT(Eventos!B$2:B$1000),10)=A261),--(Eventos!N$2:N$1000&lt;&gt;0),Eventos!I$2:I$1000))"),"")</x:f>
        <x:v>#NAME?</x:v>
      </x:c>
      <x:c r="C261" s="2" t="e">
        <x:f>IFERROR(__xludf.DUMMYFUNCTION("IF(A261="""","""",SUMPRODUCT(--(LEFT(TO_TEXT(Eventos!B$2:B$1000),10)=A261),--(Eventos!N$2:N$1000&lt;&gt;0),Eventos!M$2:M$1000))"),"")</x:f>
        <x:v>#NAME?</x:v>
      </x:c>
      <x:c r="D261" s="2" t="e">
        <x:f>IFERROR(__xludf.DUMMYFUNCTION("IF(A261="""","""",SUMPRODUCT(--(LEFT(TO_TEXT(Eventos!B$2:B$1000),10)=A261),Eventos!N$2:N$1000))"),"")</x:f>
        <x:v>#NAME?</x:v>
      </x:c>
      <x:c r="E261" s="2" t="str">
        <x:f t="shared" si="2"/>
      </x:c>
      <x:c r="F261" s="2" t="str">
        <x:f t="shared" si="5"/>
      </x:c>
    </x:row>
    <x:row r="262">
      <x:c r="A262" s="2" t="str">
        <x:f t="shared" si="4"/>
      </x:c>
      <x:c r="B262" s="2" t="e">
        <x:f>IFERROR(__xludf.DUMMYFUNCTION("IF(A262="""","""",SUMPRODUCT(--(LEFT(TO_TEXT(Eventos!B$2:B$1000),10)=A262),--(Eventos!N$2:N$1000&lt;&gt;0),Eventos!I$2:I$1000))"),"")</x:f>
        <x:v>#NAME?</x:v>
      </x:c>
      <x:c r="C262" s="2" t="e">
        <x:f>IFERROR(__xludf.DUMMYFUNCTION("IF(A262="""","""",SUMPRODUCT(--(LEFT(TO_TEXT(Eventos!B$2:B$1000),10)=A262),--(Eventos!N$2:N$1000&lt;&gt;0),Eventos!M$2:M$1000))"),"")</x:f>
        <x:v>#NAME?</x:v>
      </x:c>
      <x:c r="D262" s="2" t="e">
        <x:f>IFERROR(__xludf.DUMMYFUNCTION("IF(A262="""","""",SUMPRODUCT(--(LEFT(TO_TEXT(Eventos!B$2:B$1000),10)=A262),Eventos!N$2:N$1000))"),"")</x:f>
        <x:v>#NAME?</x:v>
      </x:c>
      <x:c r="E262" s="2" t="str">
        <x:f t="shared" si="2"/>
      </x:c>
      <x:c r="F262" s="2" t="str">
        <x:f t="shared" si="5"/>
      </x:c>
    </x:row>
    <x:row r="263">
      <x:c r="A263" s="2" t="str">
        <x:f t="shared" si="4"/>
      </x:c>
      <x:c r="B263" s="2" t="e">
        <x:f>IFERROR(__xludf.DUMMYFUNCTION("IF(A263="""","""",SUMPRODUCT(--(LEFT(TO_TEXT(Eventos!B$2:B$1000),10)=A263),--(Eventos!N$2:N$1000&lt;&gt;0),Eventos!I$2:I$1000))"),"")</x:f>
        <x:v>#NAME?</x:v>
      </x:c>
      <x:c r="C263" s="2" t="e">
        <x:f>IFERROR(__xludf.DUMMYFUNCTION("IF(A263="""","""",SUMPRODUCT(--(LEFT(TO_TEXT(Eventos!B$2:B$1000),10)=A263),--(Eventos!N$2:N$1000&lt;&gt;0),Eventos!M$2:M$1000))"),"")</x:f>
        <x:v>#NAME?</x:v>
      </x:c>
      <x:c r="D263" s="2" t="e">
        <x:f>IFERROR(__xludf.DUMMYFUNCTION("IF(A263="""","""",SUMPRODUCT(--(LEFT(TO_TEXT(Eventos!B$2:B$1000),10)=A263),Eventos!N$2:N$1000))"),"")</x:f>
        <x:v>#NAME?</x:v>
      </x:c>
      <x:c r="E263" s="2" t="str">
        <x:f t="shared" si="2"/>
      </x:c>
      <x:c r="F263" s="2" t="str">
        <x:f t="shared" si="5"/>
      </x:c>
    </x:row>
    <x:row r="264">
      <x:c r="A264" s="2" t="str">
        <x:f t="shared" si="4"/>
      </x:c>
      <x:c r="B264" s="2" t="e">
        <x:f>IFERROR(__xludf.DUMMYFUNCTION("IF(A264="""","""",SUMPRODUCT(--(LEFT(TO_TEXT(Eventos!B$2:B$1000),10)=A264),--(Eventos!N$2:N$1000&lt;&gt;0),Eventos!I$2:I$1000))"),"")</x:f>
        <x:v>#NAME?</x:v>
      </x:c>
      <x:c r="C264" s="2" t="e">
        <x:f>IFERROR(__xludf.DUMMYFUNCTION("IF(A264="""","""",SUMPRODUCT(--(LEFT(TO_TEXT(Eventos!B$2:B$1000),10)=A264),--(Eventos!N$2:N$1000&lt;&gt;0),Eventos!M$2:M$1000))"),"")</x:f>
        <x:v>#NAME?</x:v>
      </x:c>
      <x:c r="D264" s="2" t="e">
        <x:f>IFERROR(__xludf.DUMMYFUNCTION("IF(A264="""","""",SUMPRODUCT(--(LEFT(TO_TEXT(Eventos!B$2:B$1000),10)=A264),Eventos!N$2:N$1000))"),"")</x:f>
        <x:v>#NAME?</x:v>
      </x:c>
      <x:c r="E264" s="2" t="str">
        <x:f t="shared" si="2"/>
      </x:c>
      <x:c r="F264" s="2" t="str">
        <x:f t="shared" si="5"/>
      </x:c>
    </x:row>
    <x:row r="265">
      <x:c r="A265" s="2" t="str">
        <x:f t="shared" si="4"/>
      </x:c>
      <x:c r="B265" s="2" t="e">
        <x:f>IFERROR(__xludf.DUMMYFUNCTION("IF(A265="""","""",SUMPRODUCT(--(LEFT(TO_TEXT(Eventos!B$2:B$1000),10)=A265),--(Eventos!N$2:N$1000&lt;&gt;0),Eventos!I$2:I$1000))"),"")</x:f>
        <x:v>#NAME?</x:v>
      </x:c>
      <x:c r="C265" s="2" t="e">
        <x:f>IFERROR(__xludf.DUMMYFUNCTION("IF(A265="""","""",SUMPRODUCT(--(LEFT(TO_TEXT(Eventos!B$2:B$1000),10)=A265),--(Eventos!N$2:N$1000&lt;&gt;0),Eventos!M$2:M$1000))"),"")</x:f>
        <x:v>#NAME?</x:v>
      </x:c>
      <x:c r="D265" s="2" t="e">
        <x:f>IFERROR(__xludf.DUMMYFUNCTION("IF(A265="""","""",SUMPRODUCT(--(LEFT(TO_TEXT(Eventos!B$2:B$1000),10)=A265),Eventos!N$2:N$1000))"),"")</x:f>
        <x:v>#NAME?</x:v>
      </x:c>
      <x:c r="E265" s="2" t="str">
        <x:f t="shared" si="2"/>
      </x:c>
      <x:c r="F265" s="2" t="str">
        <x:f t="shared" si="5"/>
      </x:c>
    </x:row>
    <x:row r="266">
      <x:c r="A266" s="2" t="str">
        <x:f t="shared" si="4"/>
      </x:c>
      <x:c r="B266" s="2" t="e">
        <x:f>IFERROR(__xludf.DUMMYFUNCTION("IF(A266="""","""",SUMPRODUCT(--(LEFT(TO_TEXT(Eventos!B$2:B$1000),10)=A266),--(Eventos!N$2:N$1000&lt;&gt;0),Eventos!I$2:I$1000))"),"")</x:f>
        <x:v>#NAME?</x:v>
      </x:c>
      <x:c r="C266" s="2" t="e">
        <x:f>IFERROR(__xludf.DUMMYFUNCTION("IF(A266="""","""",SUMPRODUCT(--(LEFT(TO_TEXT(Eventos!B$2:B$1000),10)=A266),--(Eventos!N$2:N$1000&lt;&gt;0),Eventos!M$2:M$1000))"),"")</x:f>
        <x:v>#NAME?</x:v>
      </x:c>
      <x:c r="D266" s="2" t="e">
        <x:f>IFERROR(__xludf.DUMMYFUNCTION("IF(A266="""","""",SUMPRODUCT(--(LEFT(TO_TEXT(Eventos!B$2:B$1000),10)=A266),Eventos!N$2:N$1000))"),"")</x:f>
        <x:v>#NAME?</x:v>
      </x:c>
      <x:c r="E266" s="2" t="str">
        <x:f t="shared" si="2"/>
      </x:c>
      <x:c r="F266" s="2" t="str">
        <x:f t="shared" si="5"/>
      </x:c>
    </x:row>
    <x:row r="267">
      <x:c r="A267" s="2" t="str">
        <x:f t="shared" si="4"/>
      </x:c>
      <x:c r="B267" s="2" t="e">
        <x:f>IFERROR(__xludf.DUMMYFUNCTION("IF(A267="""","""",SUMPRODUCT(--(LEFT(TO_TEXT(Eventos!B$2:B$1000),10)=A267),--(Eventos!N$2:N$1000&lt;&gt;0),Eventos!I$2:I$1000))"),"")</x:f>
        <x:v>#NAME?</x:v>
      </x:c>
      <x:c r="C267" s="2" t="e">
        <x:f>IFERROR(__xludf.DUMMYFUNCTION("IF(A267="""","""",SUMPRODUCT(--(LEFT(TO_TEXT(Eventos!B$2:B$1000),10)=A267),--(Eventos!N$2:N$1000&lt;&gt;0),Eventos!M$2:M$1000))"),"")</x:f>
        <x:v>#NAME?</x:v>
      </x:c>
      <x:c r="D267" s="2" t="e">
        <x:f>IFERROR(__xludf.DUMMYFUNCTION("IF(A267="""","""",SUMPRODUCT(--(LEFT(TO_TEXT(Eventos!B$2:B$1000),10)=A267),Eventos!N$2:N$1000))"),"")</x:f>
        <x:v>#NAME?</x:v>
      </x:c>
      <x:c r="E267" s="2" t="str">
        <x:f t="shared" si="2"/>
      </x:c>
      <x:c r="F267" s="2" t="str">
        <x:f t="shared" si="5"/>
      </x:c>
    </x:row>
    <x:row r="268">
      <x:c r="A268" s="2" t="str">
        <x:f t="shared" si="4"/>
      </x:c>
      <x:c r="B268" s="2" t="e">
        <x:f>IFERROR(__xludf.DUMMYFUNCTION("IF(A268="""","""",SUMPRODUCT(--(LEFT(TO_TEXT(Eventos!B$2:B$1000),10)=A268),--(Eventos!N$2:N$1000&lt;&gt;0),Eventos!I$2:I$1000))"),"")</x:f>
        <x:v>#NAME?</x:v>
      </x:c>
      <x:c r="C268" s="2" t="e">
        <x:f>IFERROR(__xludf.DUMMYFUNCTION("IF(A268="""","""",SUMPRODUCT(--(LEFT(TO_TEXT(Eventos!B$2:B$1000),10)=A268),--(Eventos!N$2:N$1000&lt;&gt;0),Eventos!M$2:M$1000))"),"")</x:f>
        <x:v>#NAME?</x:v>
      </x:c>
      <x:c r="D268" s="2" t="e">
        <x:f>IFERROR(__xludf.DUMMYFUNCTION("IF(A268="""","""",SUMPRODUCT(--(LEFT(TO_TEXT(Eventos!B$2:B$1000),10)=A268),Eventos!N$2:N$1000))"),"")</x:f>
        <x:v>#NAME?</x:v>
      </x:c>
      <x:c r="E268" s="2" t="str">
        <x:f t="shared" si="2"/>
      </x:c>
      <x:c r="F268" s="2" t="str">
        <x:f t="shared" si="5"/>
      </x:c>
    </x:row>
    <x:row r="269">
      <x:c r="A269" s="2" t="str">
        <x:f t="shared" si="4"/>
      </x:c>
      <x:c r="B269" s="2" t="e">
        <x:f>IFERROR(__xludf.DUMMYFUNCTION("IF(A269="""","""",SUMPRODUCT(--(LEFT(TO_TEXT(Eventos!B$2:B$1000),10)=A269),--(Eventos!N$2:N$1000&lt;&gt;0),Eventos!I$2:I$1000))"),"")</x:f>
        <x:v>#NAME?</x:v>
      </x:c>
      <x:c r="C269" s="2" t="e">
        <x:f>IFERROR(__xludf.DUMMYFUNCTION("IF(A269="""","""",SUMPRODUCT(--(LEFT(TO_TEXT(Eventos!B$2:B$1000),10)=A269),--(Eventos!N$2:N$1000&lt;&gt;0),Eventos!M$2:M$1000))"),"")</x:f>
        <x:v>#NAME?</x:v>
      </x:c>
      <x:c r="D269" s="2" t="e">
        <x:f>IFERROR(__xludf.DUMMYFUNCTION("IF(A269="""","""",SUMPRODUCT(--(LEFT(TO_TEXT(Eventos!B$2:B$1000),10)=A269),Eventos!N$2:N$1000))"),"")</x:f>
        <x:v>#NAME?</x:v>
      </x:c>
      <x:c r="E269" s="2" t="str">
        <x:f t="shared" si="2"/>
      </x:c>
      <x:c r="F269" s="2" t="str">
        <x:f t="shared" si="5"/>
      </x:c>
    </x:row>
    <x:row r="270">
      <x:c r="A270" s="2" t="str">
        <x:f t="shared" si="4"/>
      </x:c>
      <x:c r="B270" s="2" t="e">
        <x:f>IFERROR(__xludf.DUMMYFUNCTION("IF(A270="""","""",SUMPRODUCT(--(LEFT(TO_TEXT(Eventos!B$2:B$1000),10)=A270),--(Eventos!N$2:N$1000&lt;&gt;0),Eventos!I$2:I$1000))"),"")</x:f>
        <x:v>#NAME?</x:v>
      </x:c>
      <x:c r="C270" s="2" t="e">
        <x:f>IFERROR(__xludf.DUMMYFUNCTION("IF(A270="""","""",SUMPRODUCT(--(LEFT(TO_TEXT(Eventos!B$2:B$1000),10)=A270),--(Eventos!N$2:N$1000&lt;&gt;0),Eventos!M$2:M$1000))"),"")</x:f>
        <x:v>#NAME?</x:v>
      </x:c>
      <x:c r="D270" s="2" t="e">
        <x:f>IFERROR(__xludf.DUMMYFUNCTION("IF(A270="""","""",SUMPRODUCT(--(LEFT(TO_TEXT(Eventos!B$2:B$1000),10)=A270),Eventos!N$2:N$1000))"),"")</x:f>
        <x:v>#NAME?</x:v>
      </x:c>
      <x:c r="E270" s="2" t="str">
        <x:f t="shared" si="2"/>
      </x:c>
      <x:c r="F270" s="2" t="str">
        <x:f t="shared" si="5"/>
      </x:c>
    </x:row>
    <x:row r="271">
      <x:c r="A271" s="2" t="str">
        <x:f t="shared" si="4"/>
      </x:c>
      <x:c r="B271" s="2" t="e">
        <x:f>IFERROR(__xludf.DUMMYFUNCTION("IF(A271="""","""",SUMPRODUCT(--(LEFT(TO_TEXT(Eventos!B$2:B$1000),10)=A271),--(Eventos!N$2:N$1000&lt;&gt;0),Eventos!I$2:I$1000))"),"")</x:f>
        <x:v>#NAME?</x:v>
      </x:c>
      <x:c r="C271" s="2" t="e">
        <x:f>IFERROR(__xludf.DUMMYFUNCTION("IF(A271="""","""",SUMPRODUCT(--(LEFT(TO_TEXT(Eventos!B$2:B$1000),10)=A271),--(Eventos!N$2:N$1000&lt;&gt;0),Eventos!M$2:M$1000))"),"")</x:f>
        <x:v>#NAME?</x:v>
      </x:c>
      <x:c r="D271" s="2" t="e">
        <x:f>IFERROR(__xludf.DUMMYFUNCTION("IF(A271="""","""",SUMPRODUCT(--(LEFT(TO_TEXT(Eventos!B$2:B$1000),10)=A271),Eventos!N$2:N$1000))"),"")</x:f>
        <x:v>#NAME?</x:v>
      </x:c>
      <x:c r="E271" s="2" t="str">
        <x:f t="shared" si="2"/>
      </x:c>
      <x:c r="F271" s="2" t="str">
        <x:f t="shared" si="5"/>
      </x:c>
    </x:row>
    <x:row r="272">
      <x:c r="A272" s="2" t="str">
        <x:f t="shared" si="4"/>
      </x:c>
      <x:c r="B272" s="2" t="e">
        <x:f>IFERROR(__xludf.DUMMYFUNCTION("IF(A272="""","""",SUMPRODUCT(--(LEFT(TO_TEXT(Eventos!B$2:B$1000),10)=A272),--(Eventos!N$2:N$1000&lt;&gt;0),Eventos!I$2:I$1000))"),"")</x:f>
        <x:v>#NAME?</x:v>
      </x:c>
      <x:c r="C272" s="2" t="e">
        <x:f>IFERROR(__xludf.DUMMYFUNCTION("IF(A272="""","""",SUMPRODUCT(--(LEFT(TO_TEXT(Eventos!B$2:B$1000),10)=A272),--(Eventos!N$2:N$1000&lt;&gt;0),Eventos!M$2:M$1000))"),"")</x:f>
        <x:v>#NAME?</x:v>
      </x:c>
      <x:c r="D272" s="2" t="e">
        <x:f>IFERROR(__xludf.DUMMYFUNCTION("IF(A272="""","""",SUMPRODUCT(--(LEFT(TO_TEXT(Eventos!B$2:B$1000),10)=A272),Eventos!N$2:N$1000))"),"")</x:f>
        <x:v>#NAME?</x:v>
      </x:c>
      <x:c r="E272" s="2" t="str">
        <x:f t="shared" si="2"/>
      </x:c>
      <x:c r="F272" s="2" t="str">
        <x:f t="shared" si="5"/>
      </x:c>
    </x:row>
    <x:row r="273">
      <x:c r="A273" s="2" t="str">
        <x:f t="shared" si="4"/>
      </x:c>
      <x:c r="B273" s="2" t="e">
        <x:f>IFERROR(__xludf.DUMMYFUNCTION("IF(A273="""","""",SUMPRODUCT(--(LEFT(TO_TEXT(Eventos!B$2:B$1000),10)=A273),--(Eventos!N$2:N$1000&lt;&gt;0),Eventos!I$2:I$1000))"),"")</x:f>
        <x:v>#NAME?</x:v>
      </x:c>
      <x:c r="C273" s="2" t="e">
        <x:f>IFERROR(__xludf.DUMMYFUNCTION("IF(A273="""","""",SUMPRODUCT(--(LEFT(TO_TEXT(Eventos!B$2:B$1000),10)=A273),--(Eventos!N$2:N$1000&lt;&gt;0),Eventos!M$2:M$1000))"),"")</x:f>
        <x:v>#NAME?</x:v>
      </x:c>
      <x:c r="D273" s="2" t="e">
        <x:f>IFERROR(__xludf.DUMMYFUNCTION("IF(A273="""","""",SUMPRODUCT(--(LEFT(TO_TEXT(Eventos!B$2:B$1000),10)=A273),Eventos!N$2:N$1000))"),"")</x:f>
        <x:v>#NAME?</x:v>
      </x:c>
      <x:c r="E273" s="2" t="str">
        <x:f t="shared" si="2"/>
      </x:c>
      <x:c r="F273" s="2" t="str">
        <x:f t="shared" si="5"/>
      </x:c>
    </x:row>
    <x:row r="274">
      <x:c r="A274" s="2" t="str">
        <x:f t="shared" si="4"/>
      </x:c>
      <x:c r="B274" s="2" t="e">
        <x:f>IFERROR(__xludf.DUMMYFUNCTION("IF(A274="""","""",SUMPRODUCT(--(LEFT(TO_TEXT(Eventos!B$2:B$1000),10)=A274),--(Eventos!N$2:N$1000&lt;&gt;0),Eventos!I$2:I$1000))"),"")</x:f>
        <x:v>#NAME?</x:v>
      </x:c>
      <x:c r="C274" s="2" t="e">
        <x:f>IFERROR(__xludf.DUMMYFUNCTION("IF(A274="""","""",SUMPRODUCT(--(LEFT(TO_TEXT(Eventos!B$2:B$1000),10)=A274),--(Eventos!N$2:N$1000&lt;&gt;0),Eventos!M$2:M$1000))"),"")</x:f>
        <x:v>#NAME?</x:v>
      </x:c>
      <x:c r="D274" s="2" t="e">
        <x:f>IFERROR(__xludf.DUMMYFUNCTION("IF(A274="""","""",SUMPRODUCT(--(LEFT(TO_TEXT(Eventos!B$2:B$1000),10)=A274),Eventos!N$2:N$1000))"),"")</x:f>
        <x:v>#NAME?</x:v>
      </x:c>
      <x:c r="E274" s="2" t="str">
        <x:f t="shared" si="2"/>
      </x:c>
      <x:c r="F274" s="2" t="str">
        <x:f t="shared" si="5"/>
      </x:c>
    </x:row>
    <x:row r="275">
      <x:c r="A275" s="2" t="str">
        <x:f t="shared" si="4"/>
      </x:c>
      <x:c r="B275" s="2" t="e">
        <x:f>IFERROR(__xludf.DUMMYFUNCTION("IF(A275="""","""",SUMPRODUCT(--(LEFT(TO_TEXT(Eventos!B$2:B$1000),10)=A275),--(Eventos!N$2:N$1000&lt;&gt;0),Eventos!I$2:I$1000))"),"")</x:f>
        <x:v>#NAME?</x:v>
      </x:c>
      <x:c r="C275" s="2" t="e">
        <x:f>IFERROR(__xludf.DUMMYFUNCTION("IF(A275="""","""",SUMPRODUCT(--(LEFT(TO_TEXT(Eventos!B$2:B$1000),10)=A275),--(Eventos!N$2:N$1000&lt;&gt;0),Eventos!M$2:M$1000))"),"")</x:f>
        <x:v>#NAME?</x:v>
      </x:c>
      <x:c r="D275" s="2" t="e">
        <x:f>IFERROR(__xludf.DUMMYFUNCTION("IF(A275="""","""",SUMPRODUCT(--(LEFT(TO_TEXT(Eventos!B$2:B$1000),10)=A275),Eventos!N$2:N$1000))"),"")</x:f>
        <x:v>#NAME?</x:v>
      </x:c>
      <x:c r="E275" s="2" t="str">
        <x:f t="shared" si="2"/>
      </x:c>
      <x:c r="F275" s="2" t="str">
        <x:f t="shared" si="5"/>
      </x:c>
    </x:row>
    <x:row r="276">
      <x:c r="A276" s="2" t="str">
        <x:f t="shared" si="4"/>
      </x:c>
      <x:c r="B276" s="2" t="e">
        <x:f>IFERROR(__xludf.DUMMYFUNCTION("IF(A276="""","""",SUMPRODUCT(--(LEFT(TO_TEXT(Eventos!B$2:B$1000),10)=A276),--(Eventos!N$2:N$1000&lt;&gt;0),Eventos!I$2:I$1000))"),"")</x:f>
        <x:v>#NAME?</x:v>
      </x:c>
      <x:c r="C276" s="2" t="e">
        <x:f>IFERROR(__xludf.DUMMYFUNCTION("IF(A276="""","""",SUMPRODUCT(--(LEFT(TO_TEXT(Eventos!B$2:B$1000),10)=A276),--(Eventos!N$2:N$1000&lt;&gt;0),Eventos!M$2:M$1000))"),"")</x:f>
        <x:v>#NAME?</x:v>
      </x:c>
      <x:c r="D276" s="2" t="e">
        <x:f>IFERROR(__xludf.DUMMYFUNCTION("IF(A276="""","""",SUMPRODUCT(--(LEFT(TO_TEXT(Eventos!B$2:B$1000),10)=A276),Eventos!N$2:N$1000))"),"")</x:f>
        <x:v>#NAME?</x:v>
      </x:c>
      <x:c r="E276" s="2" t="str">
        <x:f t="shared" si="2"/>
      </x:c>
      <x:c r="F276" s="2" t="str">
        <x:f t="shared" si="5"/>
      </x:c>
    </x:row>
    <x:row r="277">
      <x:c r="A277" s="2" t="str">
        <x:f t="shared" si="4"/>
      </x:c>
      <x:c r="B277" s="2" t="e">
        <x:f>IFERROR(__xludf.DUMMYFUNCTION("IF(A277="""","""",SUMPRODUCT(--(LEFT(TO_TEXT(Eventos!B$2:B$1000),10)=A277),--(Eventos!N$2:N$1000&lt;&gt;0),Eventos!I$2:I$1000))"),"")</x:f>
        <x:v>#NAME?</x:v>
      </x:c>
      <x:c r="C277" s="2" t="e">
        <x:f>IFERROR(__xludf.DUMMYFUNCTION("IF(A277="""","""",SUMPRODUCT(--(LEFT(TO_TEXT(Eventos!B$2:B$1000),10)=A277),--(Eventos!N$2:N$1000&lt;&gt;0),Eventos!M$2:M$1000))"),"")</x:f>
        <x:v>#NAME?</x:v>
      </x:c>
      <x:c r="D277" s="2" t="e">
        <x:f>IFERROR(__xludf.DUMMYFUNCTION("IF(A277="""","""",SUMPRODUCT(--(LEFT(TO_TEXT(Eventos!B$2:B$1000),10)=A277),Eventos!N$2:N$1000))"),"")</x:f>
        <x:v>#NAME?</x:v>
      </x:c>
      <x:c r="E277" s="2" t="str">
        <x:f t="shared" si="2"/>
      </x:c>
      <x:c r="F277" s="2" t="str">
        <x:f t="shared" si="5"/>
      </x:c>
    </x:row>
    <x:row r="278">
      <x:c r="A278" s="2" t="str">
        <x:f t="shared" si="4"/>
      </x:c>
      <x:c r="B278" s="2" t="e">
        <x:f>IFERROR(__xludf.DUMMYFUNCTION("IF(A278="""","""",SUMPRODUCT(--(LEFT(TO_TEXT(Eventos!B$2:B$1000),10)=A278),--(Eventos!N$2:N$1000&lt;&gt;0),Eventos!I$2:I$1000))"),"")</x:f>
        <x:v>#NAME?</x:v>
      </x:c>
      <x:c r="C278" s="2" t="e">
        <x:f>IFERROR(__xludf.DUMMYFUNCTION("IF(A278="""","""",SUMPRODUCT(--(LEFT(TO_TEXT(Eventos!B$2:B$1000),10)=A278),--(Eventos!N$2:N$1000&lt;&gt;0),Eventos!M$2:M$1000))"),"")</x:f>
        <x:v>#NAME?</x:v>
      </x:c>
      <x:c r="D278" s="2" t="e">
        <x:f>IFERROR(__xludf.DUMMYFUNCTION("IF(A278="""","""",SUMPRODUCT(--(LEFT(TO_TEXT(Eventos!B$2:B$1000),10)=A278),Eventos!N$2:N$1000))"),"")</x:f>
        <x:v>#NAME?</x:v>
      </x:c>
      <x:c r="E278" s="2" t="str">
        <x:f t="shared" si="2"/>
      </x:c>
      <x:c r="F278" s="2" t="str">
        <x:f t="shared" si="5"/>
      </x:c>
    </x:row>
    <x:row r="279">
      <x:c r="A279" s="2" t="str">
        <x:f t="shared" si="4"/>
      </x:c>
      <x:c r="B279" s="2" t="e">
        <x:f>IFERROR(__xludf.DUMMYFUNCTION("IF(A279="""","""",SUMPRODUCT(--(LEFT(TO_TEXT(Eventos!B$2:B$1000),10)=A279),--(Eventos!N$2:N$1000&lt;&gt;0),Eventos!I$2:I$1000))"),"")</x:f>
        <x:v>#NAME?</x:v>
      </x:c>
      <x:c r="C279" s="2" t="e">
        <x:f>IFERROR(__xludf.DUMMYFUNCTION("IF(A279="""","""",SUMPRODUCT(--(LEFT(TO_TEXT(Eventos!B$2:B$1000),10)=A279),--(Eventos!N$2:N$1000&lt;&gt;0),Eventos!M$2:M$1000))"),"")</x:f>
        <x:v>#NAME?</x:v>
      </x:c>
      <x:c r="D279" s="2" t="e">
        <x:f>IFERROR(__xludf.DUMMYFUNCTION("IF(A279="""","""",SUMPRODUCT(--(LEFT(TO_TEXT(Eventos!B$2:B$1000),10)=A279),Eventos!N$2:N$1000))"),"")</x:f>
        <x:v>#NAME?</x:v>
      </x:c>
      <x:c r="E279" s="2" t="str">
        <x:f t="shared" si="2"/>
      </x:c>
      <x:c r="F279" s="2" t="str">
        <x:f t="shared" si="5"/>
      </x:c>
    </x:row>
    <x:row r="280">
      <x:c r="A280" s="2" t="str">
        <x:f t="shared" si="4"/>
      </x:c>
      <x:c r="B280" s="2" t="e">
        <x:f>IFERROR(__xludf.DUMMYFUNCTION("IF(A280="""","""",SUMPRODUCT(--(LEFT(TO_TEXT(Eventos!B$2:B$1000),10)=A280),--(Eventos!N$2:N$1000&lt;&gt;0),Eventos!I$2:I$1000))"),"")</x:f>
        <x:v>#NAME?</x:v>
      </x:c>
      <x:c r="C280" s="2" t="e">
        <x:f>IFERROR(__xludf.DUMMYFUNCTION("IF(A280="""","""",SUMPRODUCT(--(LEFT(TO_TEXT(Eventos!B$2:B$1000),10)=A280),--(Eventos!N$2:N$1000&lt;&gt;0),Eventos!M$2:M$1000))"),"")</x:f>
        <x:v>#NAME?</x:v>
      </x:c>
      <x:c r="D280" s="2" t="e">
        <x:f>IFERROR(__xludf.DUMMYFUNCTION("IF(A280="""","""",SUMPRODUCT(--(LEFT(TO_TEXT(Eventos!B$2:B$1000),10)=A280),Eventos!N$2:N$1000))"),"")</x:f>
        <x:v>#NAME?</x:v>
      </x:c>
      <x:c r="E280" s="2" t="str">
        <x:f t="shared" si="2"/>
      </x:c>
      <x:c r="F280" s="2" t="str">
        <x:f t="shared" si="5"/>
      </x:c>
    </x:row>
    <x:row r="281">
      <x:c r="A281" s="2" t="str">
        <x:f t="shared" si="4"/>
      </x:c>
      <x:c r="B281" s="2" t="e">
        <x:f>IFERROR(__xludf.DUMMYFUNCTION("IF(A281="""","""",SUMPRODUCT(--(LEFT(TO_TEXT(Eventos!B$2:B$1000),10)=A281),--(Eventos!N$2:N$1000&lt;&gt;0),Eventos!I$2:I$1000))"),"")</x:f>
        <x:v>#NAME?</x:v>
      </x:c>
      <x:c r="C281" s="2" t="e">
        <x:f>IFERROR(__xludf.DUMMYFUNCTION("IF(A281="""","""",SUMPRODUCT(--(LEFT(TO_TEXT(Eventos!B$2:B$1000),10)=A281),--(Eventos!N$2:N$1000&lt;&gt;0),Eventos!M$2:M$1000))"),"")</x:f>
        <x:v>#NAME?</x:v>
      </x:c>
      <x:c r="D281" s="2" t="e">
        <x:f>IFERROR(__xludf.DUMMYFUNCTION("IF(A281="""","""",SUMPRODUCT(--(LEFT(TO_TEXT(Eventos!B$2:B$1000),10)=A281),Eventos!N$2:N$1000))"),"")</x:f>
        <x:v>#NAME?</x:v>
      </x:c>
      <x:c r="E281" s="2" t="str">
        <x:f t="shared" si="2"/>
      </x:c>
      <x:c r="F281" s="2" t="str">
        <x:f t="shared" si="5"/>
      </x:c>
    </x:row>
    <x:row r="282">
      <x:c r="A282" s="2" t="str">
        <x:f t="shared" si="4"/>
      </x:c>
      <x:c r="B282" s="2" t="e">
        <x:f>IFERROR(__xludf.DUMMYFUNCTION("IF(A282="""","""",SUMPRODUCT(--(LEFT(TO_TEXT(Eventos!B$2:B$1000),10)=A282),--(Eventos!N$2:N$1000&lt;&gt;0),Eventos!I$2:I$1000))"),"")</x:f>
        <x:v>#NAME?</x:v>
      </x:c>
      <x:c r="C282" s="2" t="e">
        <x:f>IFERROR(__xludf.DUMMYFUNCTION("IF(A282="""","""",SUMPRODUCT(--(LEFT(TO_TEXT(Eventos!B$2:B$1000),10)=A282),--(Eventos!N$2:N$1000&lt;&gt;0),Eventos!M$2:M$1000))"),"")</x:f>
        <x:v>#NAME?</x:v>
      </x:c>
      <x:c r="D282" s="2" t="e">
        <x:f>IFERROR(__xludf.DUMMYFUNCTION("IF(A282="""","""",SUMPRODUCT(--(LEFT(TO_TEXT(Eventos!B$2:B$1000),10)=A282),Eventos!N$2:N$1000))"),"")</x:f>
        <x:v>#NAME?</x:v>
      </x:c>
      <x:c r="E282" s="2" t="str">
        <x:f t="shared" si="2"/>
      </x:c>
      <x:c r="F282" s="2" t="str">
        <x:f t="shared" si="5"/>
      </x:c>
    </x:row>
    <x:row r="283">
      <x:c r="A283" s="2" t="str">
        <x:f t="shared" si="4"/>
      </x:c>
      <x:c r="B283" s="2" t="e">
        <x:f>IFERROR(__xludf.DUMMYFUNCTION("IF(A283="""","""",SUMPRODUCT(--(LEFT(TO_TEXT(Eventos!B$2:B$1000),10)=A283),--(Eventos!N$2:N$1000&lt;&gt;0),Eventos!I$2:I$1000))"),"")</x:f>
        <x:v>#NAME?</x:v>
      </x:c>
      <x:c r="C283" s="2" t="e">
        <x:f>IFERROR(__xludf.DUMMYFUNCTION("IF(A283="""","""",SUMPRODUCT(--(LEFT(TO_TEXT(Eventos!B$2:B$1000),10)=A283),--(Eventos!N$2:N$1000&lt;&gt;0),Eventos!M$2:M$1000))"),"")</x:f>
        <x:v>#NAME?</x:v>
      </x:c>
      <x:c r="D283" s="2" t="e">
        <x:f>IFERROR(__xludf.DUMMYFUNCTION("IF(A283="""","""",SUMPRODUCT(--(LEFT(TO_TEXT(Eventos!B$2:B$1000),10)=A283),Eventos!N$2:N$1000))"),"")</x:f>
        <x:v>#NAME?</x:v>
      </x:c>
      <x:c r="E283" s="2" t="str">
        <x:f t="shared" si="2"/>
      </x:c>
      <x:c r="F283" s="2" t="str">
        <x:f t="shared" si="5"/>
      </x:c>
    </x:row>
    <x:row r="284">
      <x:c r="A284" s="2" t="str">
        <x:f t="shared" si="4"/>
      </x:c>
      <x:c r="B284" s="2" t="e">
        <x:f>IFERROR(__xludf.DUMMYFUNCTION("IF(A284="""","""",SUMPRODUCT(--(LEFT(TO_TEXT(Eventos!B$2:B$1000),10)=A284),--(Eventos!N$2:N$1000&lt;&gt;0),Eventos!I$2:I$1000))"),"")</x:f>
        <x:v>#NAME?</x:v>
      </x:c>
      <x:c r="C284" s="2" t="e">
        <x:f>IFERROR(__xludf.DUMMYFUNCTION("IF(A284="""","""",SUMPRODUCT(--(LEFT(TO_TEXT(Eventos!B$2:B$1000),10)=A284),--(Eventos!N$2:N$1000&lt;&gt;0),Eventos!M$2:M$1000))"),"")</x:f>
        <x:v>#NAME?</x:v>
      </x:c>
      <x:c r="D284" s="2" t="e">
        <x:f>IFERROR(__xludf.DUMMYFUNCTION("IF(A284="""","""",SUMPRODUCT(--(LEFT(TO_TEXT(Eventos!B$2:B$1000),10)=A284),Eventos!N$2:N$1000))"),"")</x:f>
        <x:v>#NAME?</x:v>
      </x:c>
      <x:c r="E284" s="2" t="str">
        <x:f t="shared" si="2"/>
      </x:c>
      <x:c r="F284" s="2" t="str">
        <x:f t="shared" si="5"/>
      </x:c>
    </x:row>
    <x:row r="285">
      <x:c r="A285" s="2" t="str">
        <x:f t="shared" si="4"/>
      </x:c>
      <x:c r="B285" s="2" t="e">
        <x:f>IFERROR(__xludf.DUMMYFUNCTION("IF(A285="""","""",SUMPRODUCT(--(LEFT(TO_TEXT(Eventos!B$2:B$1000),10)=A285),--(Eventos!N$2:N$1000&lt;&gt;0),Eventos!I$2:I$1000))"),"")</x:f>
        <x:v>#NAME?</x:v>
      </x:c>
      <x:c r="C285" s="2" t="e">
        <x:f>IFERROR(__xludf.DUMMYFUNCTION("IF(A285="""","""",SUMPRODUCT(--(LEFT(TO_TEXT(Eventos!B$2:B$1000),10)=A285),--(Eventos!N$2:N$1000&lt;&gt;0),Eventos!M$2:M$1000))"),"")</x:f>
        <x:v>#NAME?</x:v>
      </x:c>
      <x:c r="D285" s="2" t="e">
        <x:f>IFERROR(__xludf.DUMMYFUNCTION("IF(A285="""","""",SUMPRODUCT(--(LEFT(TO_TEXT(Eventos!B$2:B$1000),10)=A285),Eventos!N$2:N$1000))"),"")</x:f>
        <x:v>#NAME?</x:v>
      </x:c>
      <x:c r="E285" s="2" t="str">
        <x:f t="shared" si="2"/>
      </x:c>
      <x:c r="F285" s="2" t="str">
        <x:f t="shared" si="5"/>
      </x:c>
    </x:row>
    <x:row r="286">
      <x:c r="A286" s="2" t="str">
        <x:f t="shared" si="4"/>
      </x:c>
      <x:c r="B286" s="2" t="e">
        <x:f>IFERROR(__xludf.DUMMYFUNCTION("IF(A286="""","""",SUMPRODUCT(--(LEFT(TO_TEXT(Eventos!B$2:B$1000),10)=A286),--(Eventos!N$2:N$1000&lt;&gt;0),Eventos!I$2:I$1000))"),"")</x:f>
        <x:v>#NAME?</x:v>
      </x:c>
      <x:c r="C286" s="2" t="e">
        <x:f>IFERROR(__xludf.DUMMYFUNCTION("IF(A286="""","""",SUMPRODUCT(--(LEFT(TO_TEXT(Eventos!B$2:B$1000),10)=A286),--(Eventos!N$2:N$1000&lt;&gt;0),Eventos!M$2:M$1000))"),"")</x:f>
        <x:v>#NAME?</x:v>
      </x:c>
      <x:c r="D286" s="2" t="e">
        <x:f>IFERROR(__xludf.DUMMYFUNCTION("IF(A286="""","""",SUMPRODUCT(--(LEFT(TO_TEXT(Eventos!B$2:B$1000),10)=A286),Eventos!N$2:N$1000))"),"")</x:f>
        <x:v>#NAME?</x:v>
      </x:c>
      <x:c r="E286" s="2" t="str">
        <x:f t="shared" si="2"/>
      </x:c>
      <x:c r="F286" s="2" t="str">
        <x:f t="shared" si="5"/>
      </x:c>
    </x:row>
    <x:row r="287">
      <x:c r="A287" s="2" t="str">
        <x:f t="shared" si="4"/>
      </x:c>
      <x:c r="B287" s="2" t="e">
        <x:f>IFERROR(__xludf.DUMMYFUNCTION("IF(A287="""","""",SUMPRODUCT(--(LEFT(TO_TEXT(Eventos!B$2:B$1000),10)=A287),--(Eventos!N$2:N$1000&lt;&gt;0),Eventos!I$2:I$1000))"),"")</x:f>
        <x:v>#NAME?</x:v>
      </x:c>
      <x:c r="C287" s="2" t="e">
        <x:f>IFERROR(__xludf.DUMMYFUNCTION("IF(A287="""","""",SUMPRODUCT(--(LEFT(TO_TEXT(Eventos!B$2:B$1000),10)=A287),--(Eventos!N$2:N$1000&lt;&gt;0),Eventos!M$2:M$1000))"),"")</x:f>
        <x:v>#NAME?</x:v>
      </x:c>
      <x:c r="D287" s="2" t="e">
        <x:f>IFERROR(__xludf.DUMMYFUNCTION("IF(A287="""","""",SUMPRODUCT(--(LEFT(TO_TEXT(Eventos!B$2:B$1000),10)=A287),Eventos!N$2:N$1000))"),"")</x:f>
        <x:v>#NAME?</x:v>
      </x:c>
      <x:c r="E287" s="2" t="str">
        <x:f t="shared" si="2"/>
      </x:c>
      <x:c r="F287" s="2" t="str">
        <x:f t="shared" si="5"/>
      </x:c>
    </x:row>
    <x:row r="288">
      <x:c r="A288" s="2" t="str">
        <x:f t="shared" si="4"/>
      </x:c>
      <x:c r="B288" s="2" t="e">
        <x:f>IFERROR(__xludf.DUMMYFUNCTION("IF(A288="""","""",SUMPRODUCT(--(LEFT(TO_TEXT(Eventos!B$2:B$1000),10)=A288),--(Eventos!N$2:N$1000&lt;&gt;0),Eventos!I$2:I$1000))"),"")</x:f>
        <x:v>#NAME?</x:v>
      </x:c>
      <x:c r="C288" s="2" t="e">
        <x:f>IFERROR(__xludf.DUMMYFUNCTION("IF(A288="""","""",SUMPRODUCT(--(LEFT(TO_TEXT(Eventos!B$2:B$1000),10)=A288),--(Eventos!N$2:N$1000&lt;&gt;0),Eventos!M$2:M$1000))"),"")</x:f>
        <x:v>#NAME?</x:v>
      </x:c>
      <x:c r="D288" s="2" t="e">
        <x:f>IFERROR(__xludf.DUMMYFUNCTION("IF(A288="""","""",SUMPRODUCT(--(LEFT(TO_TEXT(Eventos!B$2:B$1000),10)=A288),Eventos!N$2:N$1000))"),"")</x:f>
        <x:v>#NAME?</x:v>
      </x:c>
      <x:c r="E288" s="2" t="str">
        <x:f t="shared" si="2"/>
      </x:c>
      <x:c r="F288" s="2" t="str">
        <x:f t="shared" si="5"/>
      </x:c>
    </x:row>
    <x:row r="289">
      <x:c r="A289" s="2" t="str">
        <x:f t="shared" si="4"/>
      </x:c>
      <x:c r="B289" s="2" t="e">
        <x:f>IFERROR(__xludf.DUMMYFUNCTION("IF(A289="""","""",SUMPRODUCT(--(LEFT(TO_TEXT(Eventos!B$2:B$1000),10)=A289),--(Eventos!N$2:N$1000&lt;&gt;0),Eventos!I$2:I$1000))"),"")</x:f>
        <x:v>#NAME?</x:v>
      </x:c>
      <x:c r="C289" s="2" t="e">
        <x:f>IFERROR(__xludf.DUMMYFUNCTION("IF(A289="""","""",SUMPRODUCT(--(LEFT(TO_TEXT(Eventos!B$2:B$1000),10)=A289),--(Eventos!N$2:N$1000&lt;&gt;0),Eventos!M$2:M$1000))"),"")</x:f>
        <x:v>#NAME?</x:v>
      </x:c>
      <x:c r="D289" s="2" t="e">
        <x:f>IFERROR(__xludf.DUMMYFUNCTION("IF(A289="""","""",SUMPRODUCT(--(LEFT(TO_TEXT(Eventos!B$2:B$1000),10)=A289),Eventos!N$2:N$1000))"),"")</x:f>
        <x:v>#NAME?</x:v>
      </x:c>
      <x:c r="E289" s="2" t="str">
        <x:f t="shared" si="2"/>
      </x:c>
      <x:c r="F289" s="2" t="str">
        <x:f t="shared" si="5"/>
      </x:c>
    </x:row>
    <x:row r="290">
      <x:c r="A290" s="2" t="str">
        <x:f t="shared" si="4"/>
      </x:c>
      <x:c r="B290" s="2" t="e">
        <x:f>IFERROR(__xludf.DUMMYFUNCTION("IF(A290="""","""",SUMPRODUCT(--(LEFT(TO_TEXT(Eventos!B$2:B$1000),10)=A290),--(Eventos!N$2:N$1000&lt;&gt;0),Eventos!I$2:I$1000))"),"")</x:f>
        <x:v>#NAME?</x:v>
      </x:c>
      <x:c r="C290" s="2" t="e">
        <x:f>IFERROR(__xludf.DUMMYFUNCTION("IF(A290="""","""",SUMPRODUCT(--(LEFT(TO_TEXT(Eventos!B$2:B$1000),10)=A290),--(Eventos!N$2:N$1000&lt;&gt;0),Eventos!M$2:M$1000))"),"")</x:f>
        <x:v>#NAME?</x:v>
      </x:c>
      <x:c r="D290" s="2" t="e">
        <x:f>IFERROR(__xludf.DUMMYFUNCTION("IF(A290="""","""",SUMPRODUCT(--(LEFT(TO_TEXT(Eventos!B$2:B$1000),10)=A290),Eventos!N$2:N$1000))"),"")</x:f>
        <x:v>#NAME?</x:v>
      </x:c>
      <x:c r="E290" s="2" t="str">
        <x:f t="shared" si="2"/>
      </x:c>
      <x:c r="F290" s="2" t="str">
        <x:f t="shared" si="5"/>
      </x:c>
    </x:row>
    <x:row r="291">
      <x:c r="A291" s="2" t="str">
        <x:f t="shared" si="4"/>
      </x:c>
      <x:c r="B291" s="2" t="e">
        <x:f>IFERROR(__xludf.DUMMYFUNCTION("IF(A291="""","""",SUMPRODUCT(--(LEFT(TO_TEXT(Eventos!B$2:B$1000),10)=A291),--(Eventos!N$2:N$1000&lt;&gt;0),Eventos!I$2:I$1000))"),"")</x:f>
        <x:v>#NAME?</x:v>
      </x:c>
      <x:c r="C291" s="2" t="e">
        <x:f>IFERROR(__xludf.DUMMYFUNCTION("IF(A291="""","""",SUMPRODUCT(--(LEFT(TO_TEXT(Eventos!B$2:B$1000),10)=A291),--(Eventos!N$2:N$1000&lt;&gt;0),Eventos!M$2:M$1000))"),"")</x:f>
        <x:v>#NAME?</x:v>
      </x:c>
      <x:c r="D291" s="2" t="e">
        <x:f>IFERROR(__xludf.DUMMYFUNCTION("IF(A291="""","""",SUMPRODUCT(--(LEFT(TO_TEXT(Eventos!B$2:B$1000),10)=A291),Eventos!N$2:N$1000))"),"")</x:f>
        <x:v>#NAME?</x:v>
      </x:c>
      <x:c r="E291" s="2" t="str">
        <x:f t="shared" si="2"/>
      </x:c>
      <x:c r="F291" s="2" t="str">
        <x:f t="shared" si="5"/>
      </x:c>
    </x:row>
    <x:row r="292">
      <x:c r="A292" s="2" t="str">
        <x:f t="shared" si="4"/>
      </x:c>
      <x:c r="B292" s="2" t="e">
        <x:f>IFERROR(__xludf.DUMMYFUNCTION("IF(A292="""","""",SUMPRODUCT(--(LEFT(TO_TEXT(Eventos!B$2:B$1000),10)=A292),--(Eventos!N$2:N$1000&lt;&gt;0),Eventos!I$2:I$1000))"),"")</x:f>
        <x:v>#NAME?</x:v>
      </x:c>
      <x:c r="C292" s="2" t="e">
        <x:f>IFERROR(__xludf.DUMMYFUNCTION("IF(A292="""","""",SUMPRODUCT(--(LEFT(TO_TEXT(Eventos!B$2:B$1000),10)=A292),--(Eventos!N$2:N$1000&lt;&gt;0),Eventos!M$2:M$1000))"),"")</x:f>
        <x:v>#NAME?</x:v>
      </x:c>
      <x:c r="D292" s="2" t="e">
        <x:f>IFERROR(__xludf.DUMMYFUNCTION("IF(A292="""","""",SUMPRODUCT(--(LEFT(TO_TEXT(Eventos!B$2:B$1000),10)=A292),Eventos!N$2:N$1000))"),"")</x:f>
        <x:v>#NAME?</x:v>
      </x:c>
      <x:c r="E292" s="2" t="str">
        <x:f t="shared" si="2"/>
      </x:c>
      <x:c r="F292" s="2" t="str">
        <x:f t="shared" si="5"/>
      </x:c>
    </x:row>
    <x:row r="293">
      <x:c r="A293" s="2" t="str">
        <x:f t="shared" si="4"/>
      </x:c>
      <x:c r="B293" s="2" t="e">
        <x:f>IFERROR(__xludf.DUMMYFUNCTION("IF(A293="""","""",SUMPRODUCT(--(LEFT(TO_TEXT(Eventos!B$2:B$1000),10)=A293),--(Eventos!N$2:N$1000&lt;&gt;0),Eventos!I$2:I$1000))"),"")</x:f>
        <x:v>#NAME?</x:v>
      </x:c>
      <x:c r="C293" s="2" t="e">
        <x:f>IFERROR(__xludf.DUMMYFUNCTION("IF(A293="""","""",SUMPRODUCT(--(LEFT(TO_TEXT(Eventos!B$2:B$1000),10)=A293),--(Eventos!N$2:N$1000&lt;&gt;0),Eventos!M$2:M$1000))"),"")</x:f>
        <x:v>#NAME?</x:v>
      </x:c>
      <x:c r="D293" s="2" t="e">
        <x:f>IFERROR(__xludf.DUMMYFUNCTION("IF(A293="""","""",SUMPRODUCT(--(LEFT(TO_TEXT(Eventos!B$2:B$1000),10)=A293),Eventos!N$2:N$1000))"),"")</x:f>
        <x:v>#NAME?</x:v>
      </x:c>
      <x:c r="E293" s="2" t="str">
        <x:f t="shared" si="2"/>
      </x:c>
      <x:c r="F293" s="2" t="str">
        <x:f t="shared" si="5"/>
      </x:c>
    </x:row>
    <x:row r="294">
      <x:c r="A294" s="2" t="str">
        <x:f t="shared" si="4"/>
      </x:c>
      <x:c r="B294" s="2" t="e">
        <x:f>IFERROR(__xludf.DUMMYFUNCTION("IF(A294="""","""",SUMPRODUCT(--(LEFT(TO_TEXT(Eventos!B$2:B$1000),10)=A294),--(Eventos!N$2:N$1000&lt;&gt;0),Eventos!I$2:I$1000))"),"")</x:f>
        <x:v>#NAME?</x:v>
      </x:c>
      <x:c r="C294" s="2" t="e">
        <x:f>IFERROR(__xludf.DUMMYFUNCTION("IF(A294="""","""",SUMPRODUCT(--(LEFT(TO_TEXT(Eventos!B$2:B$1000),10)=A294),--(Eventos!N$2:N$1000&lt;&gt;0),Eventos!M$2:M$1000))"),"")</x:f>
        <x:v>#NAME?</x:v>
      </x:c>
      <x:c r="D294" s="2" t="e">
        <x:f>IFERROR(__xludf.DUMMYFUNCTION("IF(A294="""","""",SUMPRODUCT(--(LEFT(TO_TEXT(Eventos!B$2:B$1000),10)=A294),Eventos!N$2:N$1000))"),"")</x:f>
        <x:v>#NAME?</x:v>
      </x:c>
      <x:c r="E294" s="2" t="str">
        <x:f t="shared" si="2"/>
      </x:c>
      <x:c r="F294" s="2" t="str">
        <x:f t="shared" si="5"/>
      </x:c>
    </x:row>
    <x:row r="295">
      <x:c r="A295" s="2" t="str">
        <x:f t="shared" si="4"/>
      </x:c>
      <x:c r="B295" s="2" t="e">
        <x:f>IFERROR(__xludf.DUMMYFUNCTION("IF(A295="""","""",SUMPRODUCT(--(LEFT(TO_TEXT(Eventos!B$2:B$1000),10)=A295),--(Eventos!N$2:N$1000&lt;&gt;0),Eventos!I$2:I$1000))"),"")</x:f>
        <x:v>#NAME?</x:v>
      </x:c>
      <x:c r="C295" s="2" t="e">
        <x:f>IFERROR(__xludf.DUMMYFUNCTION("IF(A295="""","""",SUMPRODUCT(--(LEFT(TO_TEXT(Eventos!B$2:B$1000),10)=A295),--(Eventos!N$2:N$1000&lt;&gt;0),Eventos!M$2:M$1000))"),"")</x:f>
        <x:v>#NAME?</x:v>
      </x:c>
      <x:c r="D295" s="2" t="e">
        <x:f>IFERROR(__xludf.DUMMYFUNCTION("IF(A295="""","""",SUMPRODUCT(--(LEFT(TO_TEXT(Eventos!B$2:B$1000),10)=A295),Eventos!N$2:N$1000))"),"")</x:f>
        <x:v>#NAME?</x:v>
      </x:c>
      <x:c r="E295" s="2" t="str">
        <x:f t="shared" si="2"/>
      </x:c>
      <x:c r="F295" s="2" t="str">
        <x:f t="shared" si="5"/>
      </x:c>
    </x:row>
    <x:row r="296">
      <x:c r="A296" s="2" t="str">
        <x:f t="shared" si="4"/>
      </x:c>
      <x:c r="B296" s="2" t="e">
        <x:f>IFERROR(__xludf.DUMMYFUNCTION("IF(A296="""","""",SUMPRODUCT(--(LEFT(TO_TEXT(Eventos!B$2:B$1000),10)=A296),--(Eventos!N$2:N$1000&lt;&gt;0),Eventos!I$2:I$1000))"),"")</x:f>
        <x:v>#NAME?</x:v>
      </x:c>
      <x:c r="C296" s="2" t="e">
        <x:f>IFERROR(__xludf.DUMMYFUNCTION("IF(A296="""","""",SUMPRODUCT(--(LEFT(TO_TEXT(Eventos!B$2:B$1000),10)=A296),--(Eventos!N$2:N$1000&lt;&gt;0),Eventos!M$2:M$1000))"),"")</x:f>
        <x:v>#NAME?</x:v>
      </x:c>
      <x:c r="D296" s="2" t="e">
        <x:f>IFERROR(__xludf.DUMMYFUNCTION("IF(A296="""","""",SUMPRODUCT(--(LEFT(TO_TEXT(Eventos!B$2:B$1000),10)=A296),Eventos!N$2:N$1000))"),"")</x:f>
        <x:v>#NAME?</x:v>
      </x:c>
      <x:c r="E296" s="2" t="str">
        <x:f t="shared" si="2"/>
      </x:c>
      <x:c r="F296" s="2" t="str">
        <x:f t="shared" si="5"/>
      </x:c>
    </x:row>
    <x:row r="297">
      <x:c r="A297" s="2" t="str">
        <x:f t="shared" si="4"/>
      </x:c>
      <x:c r="B297" s="2" t="e">
        <x:f>IFERROR(__xludf.DUMMYFUNCTION("IF(A297="""","""",SUMPRODUCT(--(LEFT(TO_TEXT(Eventos!B$2:B$1000),10)=A297),--(Eventos!N$2:N$1000&lt;&gt;0),Eventos!I$2:I$1000))"),"")</x:f>
        <x:v>#NAME?</x:v>
      </x:c>
      <x:c r="C297" s="2" t="e">
        <x:f>IFERROR(__xludf.DUMMYFUNCTION("IF(A297="""","""",SUMPRODUCT(--(LEFT(TO_TEXT(Eventos!B$2:B$1000),10)=A297),--(Eventos!N$2:N$1000&lt;&gt;0),Eventos!M$2:M$1000))"),"")</x:f>
        <x:v>#NAME?</x:v>
      </x:c>
      <x:c r="D297" s="2" t="e">
        <x:f>IFERROR(__xludf.DUMMYFUNCTION("IF(A297="""","""",SUMPRODUCT(--(LEFT(TO_TEXT(Eventos!B$2:B$1000),10)=A297),Eventos!N$2:N$1000))"),"")</x:f>
        <x:v>#NAME?</x:v>
      </x:c>
      <x:c r="E297" s="2" t="str">
        <x:f t="shared" si="2"/>
      </x:c>
      <x:c r="F297" s="2" t="str">
        <x:f t="shared" si="5"/>
      </x:c>
    </x:row>
    <x:row r="298">
      <x:c r="A298" s="2" t="str">
        <x:f t="shared" si="4"/>
      </x:c>
      <x:c r="B298" s="2" t="e">
        <x:f>IFERROR(__xludf.DUMMYFUNCTION("IF(A298="""","""",SUMPRODUCT(--(LEFT(TO_TEXT(Eventos!B$2:B$1000),10)=A298),--(Eventos!N$2:N$1000&lt;&gt;0),Eventos!I$2:I$1000))"),"")</x:f>
        <x:v>#NAME?</x:v>
      </x:c>
      <x:c r="C298" s="2" t="e">
        <x:f>IFERROR(__xludf.DUMMYFUNCTION("IF(A298="""","""",SUMPRODUCT(--(LEFT(TO_TEXT(Eventos!B$2:B$1000),10)=A298),--(Eventos!N$2:N$1000&lt;&gt;0),Eventos!M$2:M$1000))"),"")</x:f>
        <x:v>#NAME?</x:v>
      </x:c>
      <x:c r="D298" s="2" t="e">
        <x:f>IFERROR(__xludf.DUMMYFUNCTION("IF(A298="""","""",SUMPRODUCT(--(LEFT(TO_TEXT(Eventos!B$2:B$1000),10)=A298),Eventos!N$2:N$1000))"),"")</x:f>
        <x:v>#NAME?</x:v>
      </x:c>
      <x:c r="E298" s="2" t="str">
        <x:f t="shared" si="2"/>
      </x:c>
      <x:c r="F298" s="2" t="str">
        <x:f t="shared" si="5"/>
      </x:c>
    </x:row>
    <x:row r="299">
      <x:c r="A299" s="2" t="str">
        <x:f t="shared" si="4"/>
      </x:c>
      <x:c r="B299" s="2" t="e">
        <x:f>IFERROR(__xludf.DUMMYFUNCTION("IF(A299="""","""",SUMPRODUCT(--(LEFT(TO_TEXT(Eventos!B$2:B$1000),10)=A299),--(Eventos!N$2:N$1000&lt;&gt;0),Eventos!I$2:I$1000))"),"")</x:f>
        <x:v>#NAME?</x:v>
      </x:c>
      <x:c r="C299" s="2" t="e">
        <x:f>IFERROR(__xludf.DUMMYFUNCTION("IF(A299="""","""",SUMPRODUCT(--(LEFT(TO_TEXT(Eventos!B$2:B$1000),10)=A299),--(Eventos!N$2:N$1000&lt;&gt;0),Eventos!M$2:M$1000))"),"")</x:f>
        <x:v>#NAME?</x:v>
      </x:c>
      <x:c r="D299" s="2" t="e">
        <x:f>IFERROR(__xludf.DUMMYFUNCTION("IF(A299="""","""",SUMPRODUCT(--(LEFT(TO_TEXT(Eventos!B$2:B$1000),10)=A299),Eventos!N$2:N$1000))"),"")</x:f>
        <x:v>#NAME?</x:v>
      </x:c>
      <x:c r="E299" s="2" t="str">
        <x:f t="shared" si="2"/>
      </x:c>
      <x:c r="F299" s="2" t="str">
        <x:f t="shared" si="5"/>
      </x:c>
    </x:row>
    <x:row r="300">
      <x:c r="A300" s="2" t="str">
        <x:f t="shared" si="4"/>
      </x:c>
      <x:c r="B300" s="2" t="e">
        <x:f>IFERROR(__xludf.DUMMYFUNCTION("IF(A300="""","""",SUMPRODUCT(--(LEFT(TO_TEXT(Eventos!B$2:B$1000),10)=A300),--(Eventos!N$2:N$1000&lt;&gt;0),Eventos!I$2:I$1000))"),"")</x:f>
        <x:v>#NAME?</x:v>
      </x:c>
      <x:c r="C300" s="2" t="e">
        <x:f>IFERROR(__xludf.DUMMYFUNCTION("IF(A300="""","""",SUMPRODUCT(--(LEFT(TO_TEXT(Eventos!B$2:B$1000),10)=A300),--(Eventos!N$2:N$1000&lt;&gt;0),Eventos!M$2:M$1000))"),"")</x:f>
        <x:v>#NAME?</x:v>
      </x:c>
      <x:c r="D300" s="2" t="e">
        <x:f>IFERROR(__xludf.DUMMYFUNCTION("IF(A300="""","""",SUMPRODUCT(--(LEFT(TO_TEXT(Eventos!B$2:B$1000),10)=A300),Eventos!N$2:N$1000))"),"")</x:f>
        <x:v>#NAME?</x:v>
      </x:c>
      <x:c r="E300" s="2" t="str">
        <x:f t="shared" si="2"/>
      </x:c>
      <x:c r="F300" s="2" t="str">
        <x:f t="shared" si="5"/>
      </x:c>
    </x:row>
    <x:row r="301">
      <x:c r="A301" s="2" t="str">
        <x:f t="shared" si="4"/>
      </x:c>
      <x:c r="B301" s="2" t="e">
        <x:f>IFERROR(__xludf.DUMMYFUNCTION("IF(A301="""","""",SUMPRODUCT(--(LEFT(TO_TEXT(Eventos!B$2:B$1000),10)=A301),--(Eventos!N$2:N$1000&lt;&gt;0),Eventos!I$2:I$1000))"),"")</x:f>
        <x:v>#NAME?</x:v>
      </x:c>
      <x:c r="C301" s="2" t="e">
        <x:f>IFERROR(__xludf.DUMMYFUNCTION("IF(A301="""","""",SUMPRODUCT(--(LEFT(TO_TEXT(Eventos!B$2:B$1000),10)=A301),--(Eventos!N$2:N$1000&lt;&gt;0),Eventos!M$2:M$1000))"),"")</x:f>
        <x:v>#NAME?</x:v>
      </x:c>
      <x:c r="D301" s="2" t="e">
        <x:f>IFERROR(__xludf.DUMMYFUNCTION("IF(A301="""","""",SUMPRODUCT(--(LEFT(TO_TEXT(Eventos!B$2:B$1000),10)=A301),Eventos!N$2:N$1000))"),"")</x:f>
        <x:v>#NAME?</x:v>
      </x:c>
      <x:c r="E301" s="2" t="str">
        <x:f t="shared" si="2"/>
      </x:c>
      <x:c r="F301" s="2" t="str">
        <x:f t="shared" si="5"/>
      </x:c>
    </x:row>
    <x:row r="302">
      <x:c r="A302" s="2" t="str">
        <x:f t="shared" si="4"/>
      </x:c>
      <x:c r="B302" s="2" t="e">
        <x:f>IFERROR(__xludf.DUMMYFUNCTION("IF(A302="""","""",SUMPRODUCT(--(LEFT(TO_TEXT(Eventos!B$2:B$1000),10)=A302),--(Eventos!N$2:N$1000&lt;&gt;0),Eventos!I$2:I$1000))"),"")</x:f>
        <x:v>#NAME?</x:v>
      </x:c>
      <x:c r="C302" s="2" t="e">
        <x:f>IFERROR(__xludf.DUMMYFUNCTION("IF(A302="""","""",SUMPRODUCT(--(LEFT(TO_TEXT(Eventos!B$2:B$1000),10)=A302),--(Eventos!N$2:N$1000&lt;&gt;0),Eventos!M$2:M$1000))"),"")</x:f>
        <x:v>#NAME?</x:v>
      </x:c>
      <x:c r="D302" s="2" t="e">
        <x:f>IFERROR(__xludf.DUMMYFUNCTION("IF(A302="""","""",SUMPRODUCT(--(LEFT(TO_TEXT(Eventos!B$2:B$1000),10)=A302),Eventos!N$2:N$1000))"),"")</x:f>
        <x:v>#NAME?</x:v>
      </x:c>
      <x:c r="E302" s="2" t="str">
        <x:f t="shared" si="2"/>
      </x:c>
      <x:c r="F302" s="2" t="str">
        <x:f t="shared" si="5"/>
      </x:c>
    </x:row>
    <x:row r="303">
      <x:c r="A303" s="2" t="str">
        <x:f t="shared" si="4"/>
      </x:c>
      <x:c r="B303" s="2" t="e">
        <x:f>IFERROR(__xludf.DUMMYFUNCTION("IF(A303="""","""",SUMPRODUCT(--(LEFT(TO_TEXT(Eventos!B$2:B$1000),10)=A303),--(Eventos!N$2:N$1000&lt;&gt;0),Eventos!I$2:I$1000))"),"")</x:f>
        <x:v>#NAME?</x:v>
      </x:c>
      <x:c r="C303" s="2" t="e">
        <x:f>IFERROR(__xludf.DUMMYFUNCTION("IF(A303="""","""",SUMPRODUCT(--(LEFT(TO_TEXT(Eventos!B$2:B$1000),10)=A303),--(Eventos!N$2:N$1000&lt;&gt;0),Eventos!M$2:M$1000))"),"")</x:f>
        <x:v>#NAME?</x:v>
      </x:c>
      <x:c r="D303" s="2" t="e">
        <x:f>IFERROR(__xludf.DUMMYFUNCTION("IF(A303="""","""",SUMPRODUCT(--(LEFT(TO_TEXT(Eventos!B$2:B$1000),10)=A303),Eventos!N$2:N$1000))"),"")</x:f>
        <x:v>#NAME?</x:v>
      </x:c>
      <x:c r="E303" s="2" t="str">
        <x:f t="shared" si="2"/>
      </x:c>
      <x:c r="F303" s="2" t="str">
        <x:f t="shared" si="5"/>
      </x:c>
    </x:row>
    <x:row r="304">
      <x:c r="A304" s="2" t="str">
        <x:f t="shared" si="4"/>
      </x:c>
      <x:c r="B304" s="2" t="e">
        <x:f>IFERROR(__xludf.DUMMYFUNCTION("IF(A304="""","""",SUMPRODUCT(--(LEFT(TO_TEXT(Eventos!B$2:B$1000),10)=A304),--(Eventos!N$2:N$1000&lt;&gt;0),Eventos!I$2:I$1000))"),"")</x:f>
        <x:v>#NAME?</x:v>
      </x:c>
      <x:c r="C304" s="2" t="e">
        <x:f>IFERROR(__xludf.DUMMYFUNCTION("IF(A304="""","""",SUMPRODUCT(--(LEFT(TO_TEXT(Eventos!B$2:B$1000),10)=A304),--(Eventos!N$2:N$1000&lt;&gt;0),Eventos!M$2:M$1000))"),"")</x:f>
        <x:v>#NAME?</x:v>
      </x:c>
      <x:c r="D304" s="2" t="e">
        <x:f>IFERROR(__xludf.DUMMYFUNCTION("IF(A304="""","""",SUMPRODUCT(--(LEFT(TO_TEXT(Eventos!B$2:B$1000),10)=A304),Eventos!N$2:N$1000))"),"")</x:f>
        <x:v>#NAME?</x:v>
      </x:c>
      <x:c r="E304" s="2" t="str">
        <x:f t="shared" si="2"/>
      </x:c>
      <x:c r="F304" s="2" t="str">
        <x:f t="shared" si="5"/>
      </x:c>
    </x:row>
    <x:row r="305">
      <x:c r="A305" s="2" t="str">
        <x:f t="shared" si="4"/>
      </x:c>
      <x:c r="B305" s="2" t="e">
        <x:f>IFERROR(__xludf.DUMMYFUNCTION("IF(A305="""","""",SUMPRODUCT(--(LEFT(TO_TEXT(Eventos!B$2:B$1000),10)=A305),--(Eventos!N$2:N$1000&lt;&gt;0),Eventos!I$2:I$1000))"),"")</x:f>
        <x:v>#NAME?</x:v>
      </x:c>
      <x:c r="C305" s="2" t="e">
        <x:f>IFERROR(__xludf.DUMMYFUNCTION("IF(A305="""","""",SUMPRODUCT(--(LEFT(TO_TEXT(Eventos!B$2:B$1000),10)=A305),--(Eventos!N$2:N$1000&lt;&gt;0),Eventos!M$2:M$1000))"),"")</x:f>
        <x:v>#NAME?</x:v>
      </x:c>
      <x:c r="D305" s="2" t="e">
        <x:f>IFERROR(__xludf.DUMMYFUNCTION("IF(A305="""","""",SUMPRODUCT(--(LEFT(TO_TEXT(Eventos!B$2:B$1000),10)=A305),Eventos!N$2:N$1000))"),"")</x:f>
        <x:v>#NAME?</x:v>
      </x:c>
      <x:c r="E305" s="2" t="str">
        <x:f t="shared" si="2"/>
      </x:c>
      <x:c r="F305" s="2" t="str">
        <x:f t="shared" si="5"/>
      </x:c>
    </x:row>
    <x:row r="306">
      <x:c r="A306" s="2" t="str">
        <x:f t="shared" si="4"/>
      </x:c>
      <x:c r="B306" s="2" t="e">
        <x:f>IFERROR(__xludf.DUMMYFUNCTION("IF(A306="""","""",SUMPRODUCT(--(LEFT(TO_TEXT(Eventos!B$2:B$1000),10)=A306),--(Eventos!N$2:N$1000&lt;&gt;0),Eventos!I$2:I$1000))"),"")</x:f>
        <x:v>#NAME?</x:v>
      </x:c>
      <x:c r="C306" s="2" t="e">
        <x:f>IFERROR(__xludf.DUMMYFUNCTION("IF(A306="""","""",SUMPRODUCT(--(LEFT(TO_TEXT(Eventos!B$2:B$1000),10)=A306),--(Eventos!N$2:N$1000&lt;&gt;0),Eventos!M$2:M$1000))"),"")</x:f>
        <x:v>#NAME?</x:v>
      </x:c>
      <x:c r="D306" s="2" t="e">
        <x:f>IFERROR(__xludf.DUMMYFUNCTION("IF(A306="""","""",SUMPRODUCT(--(LEFT(TO_TEXT(Eventos!B$2:B$1000),10)=A306),Eventos!N$2:N$1000))"),"")</x:f>
        <x:v>#NAME?</x:v>
      </x:c>
      <x:c r="E306" s="2" t="str">
        <x:f t="shared" si="2"/>
      </x:c>
      <x:c r="F306" s="2" t="str">
        <x:f t="shared" si="5"/>
      </x:c>
    </x:row>
    <x:row r="307">
      <x:c r="A307" s="2" t="str">
        <x:f t="shared" si="4"/>
      </x:c>
      <x:c r="B307" s="2" t="e">
        <x:f>IFERROR(__xludf.DUMMYFUNCTION("IF(A307="""","""",SUMPRODUCT(--(LEFT(TO_TEXT(Eventos!B$2:B$1000),10)=A307),--(Eventos!N$2:N$1000&lt;&gt;0),Eventos!I$2:I$1000))"),"")</x:f>
        <x:v>#NAME?</x:v>
      </x:c>
      <x:c r="C307" s="2" t="e">
        <x:f>IFERROR(__xludf.DUMMYFUNCTION("IF(A307="""","""",SUMPRODUCT(--(LEFT(TO_TEXT(Eventos!B$2:B$1000),10)=A307),--(Eventos!N$2:N$1000&lt;&gt;0),Eventos!M$2:M$1000))"),"")</x:f>
        <x:v>#NAME?</x:v>
      </x:c>
      <x:c r="D307" s="2" t="e">
        <x:f>IFERROR(__xludf.DUMMYFUNCTION("IF(A307="""","""",SUMPRODUCT(--(LEFT(TO_TEXT(Eventos!B$2:B$1000),10)=A307),Eventos!N$2:N$1000))"),"")</x:f>
        <x:v>#NAME?</x:v>
      </x:c>
      <x:c r="E307" s="2" t="str">
        <x:f t="shared" si="2"/>
      </x:c>
      <x:c r="F307" s="2" t="str">
        <x:f t="shared" si="5"/>
      </x:c>
    </x:row>
    <x:row r="308">
      <x:c r="A308" s="2" t="str">
        <x:f t="shared" si="4"/>
      </x:c>
      <x:c r="B308" s="2" t="e">
        <x:f>IFERROR(__xludf.DUMMYFUNCTION("IF(A308="""","""",SUMPRODUCT(--(LEFT(TO_TEXT(Eventos!B$2:B$1000),10)=A308),--(Eventos!N$2:N$1000&lt;&gt;0),Eventos!I$2:I$1000))"),"")</x:f>
        <x:v>#NAME?</x:v>
      </x:c>
      <x:c r="C308" s="2" t="e">
        <x:f>IFERROR(__xludf.DUMMYFUNCTION("IF(A308="""","""",SUMPRODUCT(--(LEFT(TO_TEXT(Eventos!B$2:B$1000),10)=A308),--(Eventos!N$2:N$1000&lt;&gt;0),Eventos!M$2:M$1000))"),"")</x:f>
        <x:v>#NAME?</x:v>
      </x:c>
      <x:c r="D308" s="2" t="e">
        <x:f>IFERROR(__xludf.DUMMYFUNCTION("IF(A308="""","""",SUMPRODUCT(--(LEFT(TO_TEXT(Eventos!B$2:B$1000),10)=A308),Eventos!N$2:N$1000))"),"")</x:f>
        <x:v>#NAME?</x:v>
      </x:c>
      <x:c r="E308" s="2" t="str">
        <x:f t="shared" si="2"/>
      </x:c>
      <x:c r="F308" s="2" t="str">
        <x:f t="shared" si="5"/>
      </x:c>
    </x:row>
    <x:row r="309">
      <x:c r="A309" s="2" t="str">
        <x:f t="shared" si="4"/>
      </x:c>
      <x:c r="B309" s="2" t="e">
        <x:f>IFERROR(__xludf.DUMMYFUNCTION("IF(A309="""","""",SUMPRODUCT(--(LEFT(TO_TEXT(Eventos!B$2:B$1000),10)=A309),--(Eventos!N$2:N$1000&lt;&gt;0),Eventos!I$2:I$1000))"),"")</x:f>
        <x:v>#NAME?</x:v>
      </x:c>
      <x:c r="C309" s="2" t="e">
        <x:f>IFERROR(__xludf.DUMMYFUNCTION("IF(A309="""","""",SUMPRODUCT(--(LEFT(TO_TEXT(Eventos!B$2:B$1000),10)=A309),--(Eventos!N$2:N$1000&lt;&gt;0),Eventos!M$2:M$1000))"),"")</x:f>
        <x:v>#NAME?</x:v>
      </x:c>
      <x:c r="D309" s="2" t="e">
        <x:f>IFERROR(__xludf.DUMMYFUNCTION("IF(A309="""","""",SUMPRODUCT(--(LEFT(TO_TEXT(Eventos!B$2:B$1000),10)=A309),Eventos!N$2:N$1000))"),"")</x:f>
        <x:v>#NAME?</x:v>
      </x:c>
      <x:c r="E309" s="2" t="str">
        <x:f t="shared" si="2"/>
      </x:c>
      <x:c r="F309" s="2" t="str">
        <x:f t="shared" si="5"/>
      </x:c>
    </x:row>
    <x:row r="310">
      <x:c r="A310" s="2" t="str">
        <x:f t="shared" si="4"/>
      </x:c>
      <x:c r="B310" s="2" t="e">
        <x:f>IFERROR(__xludf.DUMMYFUNCTION("IF(A310="""","""",SUMPRODUCT(--(LEFT(TO_TEXT(Eventos!B$2:B$1000),10)=A310),--(Eventos!N$2:N$1000&lt;&gt;0),Eventos!I$2:I$1000))"),"")</x:f>
        <x:v>#NAME?</x:v>
      </x:c>
      <x:c r="C310" s="2" t="e">
        <x:f>IFERROR(__xludf.DUMMYFUNCTION("IF(A310="""","""",SUMPRODUCT(--(LEFT(TO_TEXT(Eventos!B$2:B$1000),10)=A310),--(Eventos!N$2:N$1000&lt;&gt;0),Eventos!M$2:M$1000))"),"")</x:f>
        <x:v>#NAME?</x:v>
      </x:c>
      <x:c r="D310" s="2" t="e">
        <x:f>IFERROR(__xludf.DUMMYFUNCTION("IF(A310="""","""",SUMPRODUCT(--(LEFT(TO_TEXT(Eventos!B$2:B$1000),10)=A310),Eventos!N$2:N$1000))"),"")</x:f>
        <x:v>#NAME?</x:v>
      </x:c>
      <x:c r="E310" s="2" t="str">
        <x:f t="shared" si="2"/>
      </x:c>
      <x:c r="F310" s="2" t="str">
        <x:f t="shared" si="5"/>
      </x:c>
    </x:row>
    <x:row r="311">
      <x:c r="A311" s="2" t="str">
        <x:f t="shared" si="4"/>
      </x:c>
      <x:c r="B311" s="2" t="e">
        <x:f>IFERROR(__xludf.DUMMYFUNCTION("IF(A311="""","""",SUMPRODUCT(--(LEFT(TO_TEXT(Eventos!B$2:B$1000),10)=A311),--(Eventos!N$2:N$1000&lt;&gt;0),Eventos!I$2:I$1000))"),"")</x:f>
        <x:v>#NAME?</x:v>
      </x:c>
      <x:c r="C311" s="2" t="e">
        <x:f>IFERROR(__xludf.DUMMYFUNCTION("IF(A311="""","""",SUMPRODUCT(--(LEFT(TO_TEXT(Eventos!B$2:B$1000),10)=A311),--(Eventos!N$2:N$1000&lt;&gt;0),Eventos!M$2:M$1000))"),"")</x:f>
        <x:v>#NAME?</x:v>
      </x:c>
      <x:c r="D311" s="2" t="e">
        <x:f>IFERROR(__xludf.DUMMYFUNCTION("IF(A311="""","""",SUMPRODUCT(--(LEFT(TO_TEXT(Eventos!B$2:B$1000),10)=A311),Eventos!N$2:N$1000))"),"")</x:f>
        <x:v>#NAME?</x:v>
      </x:c>
      <x:c r="E311" s="2" t="str">
        <x:f t="shared" si="2"/>
      </x:c>
      <x:c r="F311" s="2" t="str">
        <x:f t="shared" si="5"/>
      </x:c>
    </x:row>
    <x:row r="312">
      <x:c r="A312" s="2" t="str">
        <x:f t="shared" si="4"/>
      </x:c>
      <x:c r="B312" s="2" t="e">
        <x:f>IFERROR(__xludf.DUMMYFUNCTION("IF(A312="""","""",SUMPRODUCT(--(LEFT(TO_TEXT(Eventos!B$2:B$1000),10)=A312),--(Eventos!N$2:N$1000&lt;&gt;0),Eventos!I$2:I$1000))"),"")</x:f>
        <x:v>#NAME?</x:v>
      </x:c>
      <x:c r="C312" s="2" t="e">
        <x:f>IFERROR(__xludf.DUMMYFUNCTION("IF(A312="""","""",SUMPRODUCT(--(LEFT(TO_TEXT(Eventos!B$2:B$1000),10)=A312),--(Eventos!N$2:N$1000&lt;&gt;0),Eventos!M$2:M$1000))"),"")</x:f>
        <x:v>#NAME?</x:v>
      </x:c>
      <x:c r="D312" s="2" t="e">
        <x:f>IFERROR(__xludf.DUMMYFUNCTION("IF(A312="""","""",SUMPRODUCT(--(LEFT(TO_TEXT(Eventos!B$2:B$1000),10)=A312),Eventos!N$2:N$1000))"),"")</x:f>
        <x:v>#NAME?</x:v>
      </x:c>
      <x:c r="E312" s="2" t="str">
        <x:f t="shared" si="2"/>
      </x:c>
      <x:c r="F312" s="2" t="str">
        <x:f t="shared" si="5"/>
      </x:c>
    </x:row>
    <x:row r="313">
      <x:c r="A313" s="2" t="str">
        <x:f t="shared" si="4"/>
      </x:c>
      <x:c r="B313" s="2" t="e">
        <x:f>IFERROR(__xludf.DUMMYFUNCTION("IF(A313="""","""",SUMPRODUCT(--(LEFT(TO_TEXT(Eventos!B$2:B$1000),10)=A313),--(Eventos!N$2:N$1000&lt;&gt;0),Eventos!I$2:I$1000))"),"")</x:f>
        <x:v>#NAME?</x:v>
      </x:c>
      <x:c r="C313" s="2" t="e">
        <x:f>IFERROR(__xludf.DUMMYFUNCTION("IF(A313="""","""",SUMPRODUCT(--(LEFT(TO_TEXT(Eventos!B$2:B$1000),10)=A313),--(Eventos!N$2:N$1000&lt;&gt;0),Eventos!M$2:M$1000))"),"")</x:f>
        <x:v>#NAME?</x:v>
      </x:c>
      <x:c r="D313" s="2" t="e">
        <x:f>IFERROR(__xludf.DUMMYFUNCTION("IF(A313="""","""",SUMPRODUCT(--(LEFT(TO_TEXT(Eventos!B$2:B$1000),10)=A313),Eventos!N$2:N$1000))"),"")</x:f>
        <x:v>#NAME?</x:v>
      </x:c>
      <x:c r="E313" s="2" t="str">
        <x:f t="shared" si="2"/>
      </x:c>
      <x:c r="F313" s="2" t="str">
        <x:f t="shared" si="5"/>
      </x:c>
    </x:row>
    <x:row r="314">
      <x:c r="A314" s="2" t="str">
        <x:f t="shared" si="4"/>
      </x:c>
      <x:c r="B314" s="2" t="e">
        <x:f>IFERROR(__xludf.DUMMYFUNCTION("IF(A314="""","""",SUMPRODUCT(--(LEFT(TO_TEXT(Eventos!B$2:B$1000),10)=A314),--(Eventos!N$2:N$1000&lt;&gt;0),Eventos!I$2:I$1000))"),"")</x:f>
        <x:v>#NAME?</x:v>
      </x:c>
      <x:c r="C314" s="2" t="e">
        <x:f>IFERROR(__xludf.DUMMYFUNCTION("IF(A314="""","""",SUMPRODUCT(--(LEFT(TO_TEXT(Eventos!B$2:B$1000),10)=A314),--(Eventos!N$2:N$1000&lt;&gt;0),Eventos!M$2:M$1000))"),"")</x:f>
        <x:v>#NAME?</x:v>
      </x:c>
      <x:c r="D314" s="2" t="e">
        <x:f>IFERROR(__xludf.DUMMYFUNCTION("IF(A314="""","""",SUMPRODUCT(--(LEFT(TO_TEXT(Eventos!B$2:B$1000),10)=A314),Eventos!N$2:N$1000))"),"")</x:f>
        <x:v>#NAME?</x:v>
      </x:c>
      <x:c r="E314" s="2" t="str">
        <x:f t="shared" si="2"/>
      </x:c>
      <x:c r="F314" s="2" t="str">
        <x:f t="shared" si="5"/>
      </x:c>
    </x:row>
    <x:row r="315">
      <x:c r="A315" s="2" t="str">
        <x:f t="shared" si="4"/>
      </x:c>
      <x:c r="B315" s="2" t="e">
        <x:f>IFERROR(__xludf.DUMMYFUNCTION("IF(A315="""","""",SUMPRODUCT(--(LEFT(TO_TEXT(Eventos!B$2:B$1000),10)=A315),--(Eventos!N$2:N$1000&lt;&gt;0),Eventos!I$2:I$1000))"),"")</x:f>
        <x:v>#NAME?</x:v>
      </x:c>
      <x:c r="C315" s="2" t="e">
        <x:f>IFERROR(__xludf.DUMMYFUNCTION("IF(A315="""","""",SUMPRODUCT(--(LEFT(TO_TEXT(Eventos!B$2:B$1000),10)=A315),--(Eventos!N$2:N$1000&lt;&gt;0),Eventos!M$2:M$1000))"),"")</x:f>
        <x:v>#NAME?</x:v>
      </x:c>
      <x:c r="D315" s="2" t="e">
        <x:f>IFERROR(__xludf.DUMMYFUNCTION("IF(A315="""","""",SUMPRODUCT(--(LEFT(TO_TEXT(Eventos!B$2:B$1000),10)=A315),Eventos!N$2:N$1000))"),"")</x:f>
        <x:v>#NAME?</x:v>
      </x:c>
      <x:c r="E315" s="2" t="str">
        <x:f t="shared" si="2"/>
      </x:c>
      <x:c r="F315" s="2" t="str">
        <x:f t="shared" si="5"/>
      </x:c>
    </x:row>
    <x:row r="316">
      <x:c r="A316" s="2" t="str">
        <x:f t="shared" si="4"/>
      </x:c>
      <x:c r="B316" s="2" t="e">
        <x:f>IFERROR(__xludf.DUMMYFUNCTION("IF(A316="""","""",SUMPRODUCT(--(LEFT(TO_TEXT(Eventos!B$2:B$1000),10)=A316),--(Eventos!N$2:N$1000&lt;&gt;0),Eventos!I$2:I$1000))"),"")</x:f>
        <x:v>#NAME?</x:v>
      </x:c>
      <x:c r="C316" s="2" t="e">
        <x:f>IFERROR(__xludf.DUMMYFUNCTION("IF(A316="""","""",SUMPRODUCT(--(LEFT(TO_TEXT(Eventos!B$2:B$1000),10)=A316),--(Eventos!N$2:N$1000&lt;&gt;0),Eventos!M$2:M$1000))"),"")</x:f>
        <x:v>#NAME?</x:v>
      </x:c>
      <x:c r="D316" s="2" t="e">
        <x:f>IFERROR(__xludf.DUMMYFUNCTION("IF(A316="""","""",SUMPRODUCT(--(LEFT(TO_TEXT(Eventos!B$2:B$1000),10)=A316),Eventos!N$2:N$1000))"),"")</x:f>
        <x:v>#NAME?</x:v>
      </x:c>
      <x:c r="E316" s="2" t="str">
        <x:f t="shared" si="2"/>
      </x:c>
      <x:c r="F316" s="2" t="str">
        <x:f t="shared" si="5"/>
      </x:c>
    </x:row>
    <x:row r="317">
      <x:c r="A317" s="2" t="str">
        <x:f t="shared" si="4"/>
      </x:c>
      <x:c r="B317" s="2" t="e">
        <x:f>IFERROR(__xludf.DUMMYFUNCTION("IF(A317="""","""",SUMPRODUCT(--(LEFT(TO_TEXT(Eventos!B$2:B$1000),10)=A317),--(Eventos!N$2:N$1000&lt;&gt;0),Eventos!I$2:I$1000))"),"")</x:f>
        <x:v>#NAME?</x:v>
      </x:c>
      <x:c r="C317" s="2" t="e">
        <x:f>IFERROR(__xludf.DUMMYFUNCTION("IF(A317="""","""",SUMPRODUCT(--(LEFT(TO_TEXT(Eventos!B$2:B$1000),10)=A317),--(Eventos!N$2:N$1000&lt;&gt;0),Eventos!M$2:M$1000))"),"")</x:f>
        <x:v>#NAME?</x:v>
      </x:c>
      <x:c r="D317" s="2" t="e">
        <x:f>IFERROR(__xludf.DUMMYFUNCTION("IF(A317="""","""",SUMPRODUCT(--(LEFT(TO_TEXT(Eventos!B$2:B$1000),10)=A317),Eventos!N$2:N$1000))"),"")</x:f>
        <x:v>#NAME?</x:v>
      </x:c>
      <x:c r="E317" s="2" t="str">
        <x:f t="shared" si="2"/>
      </x:c>
      <x:c r="F317" s="2" t="str">
        <x:f t="shared" si="5"/>
      </x:c>
    </x:row>
    <x:row r="318">
      <x:c r="A318" s="2" t="str">
        <x:f t="shared" si="4"/>
      </x:c>
      <x:c r="B318" s="2" t="e">
        <x:f>IFERROR(__xludf.DUMMYFUNCTION("IF(A318="""","""",SUMPRODUCT(--(LEFT(TO_TEXT(Eventos!B$2:B$1000),10)=A318),--(Eventos!N$2:N$1000&lt;&gt;0),Eventos!I$2:I$1000))"),"")</x:f>
        <x:v>#NAME?</x:v>
      </x:c>
      <x:c r="C318" s="2" t="e">
        <x:f>IFERROR(__xludf.DUMMYFUNCTION("IF(A318="""","""",SUMPRODUCT(--(LEFT(TO_TEXT(Eventos!B$2:B$1000),10)=A318),--(Eventos!N$2:N$1000&lt;&gt;0),Eventos!M$2:M$1000))"),"")</x:f>
        <x:v>#NAME?</x:v>
      </x:c>
      <x:c r="D318" s="2" t="e">
        <x:f>IFERROR(__xludf.DUMMYFUNCTION("IF(A318="""","""",SUMPRODUCT(--(LEFT(TO_TEXT(Eventos!B$2:B$1000),10)=A318),Eventos!N$2:N$1000))"),"")</x:f>
        <x:v>#NAME?</x:v>
      </x:c>
      <x:c r="E318" s="2" t="str">
        <x:f t="shared" si="2"/>
      </x:c>
      <x:c r="F318" s="2" t="str">
        <x:f t="shared" si="5"/>
      </x:c>
    </x:row>
    <x:row r="319">
      <x:c r="A319" s="2" t="str">
        <x:f t="shared" si="4"/>
      </x:c>
      <x:c r="B319" s="2" t="e">
        <x:f>IFERROR(__xludf.DUMMYFUNCTION("IF(A319="""","""",SUMPRODUCT(--(LEFT(TO_TEXT(Eventos!B$2:B$1000),10)=A319),--(Eventos!N$2:N$1000&lt;&gt;0),Eventos!I$2:I$1000))"),"")</x:f>
        <x:v>#NAME?</x:v>
      </x:c>
      <x:c r="C319" s="2" t="e">
        <x:f>IFERROR(__xludf.DUMMYFUNCTION("IF(A319="""","""",SUMPRODUCT(--(LEFT(TO_TEXT(Eventos!B$2:B$1000),10)=A319),--(Eventos!N$2:N$1000&lt;&gt;0),Eventos!M$2:M$1000))"),"")</x:f>
        <x:v>#NAME?</x:v>
      </x:c>
      <x:c r="D319" s="2" t="e">
        <x:f>IFERROR(__xludf.DUMMYFUNCTION("IF(A319="""","""",SUMPRODUCT(--(LEFT(TO_TEXT(Eventos!B$2:B$1000),10)=A319),Eventos!N$2:N$1000))"),"")</x:f>
        <x:v>#NAME?</x:v>
      </x:c>
      <x:c r="E319" s="2" t="str">
        <x:f t="shared" si="2"/>
      </x:c>
      <x:c r="F319" s="2" t="str">
        <x:f t="shared" si="5"/>
      </x:c>
    </x:row>
    <x:row r="320">
      <x:c r="A320" s="2" t="str">
        <x:f t="shared" si="4"/>
      </x:c>
      <x:c r="B320" s="2" t="e">
        <x:f>IFERROR(__xludf.DUMMYFUNCTION("IF(A320="""","""",SUMPRODUCT(--(LEFT(TO_TEXT(Eventos!B$2:B$1000),10)=A320),--(Eventos!N$2:N$1000&lt;&gt;0),Eventos!I$2:I$1000))"),"")</x:f>
        <x:v>#NAME?</x:v>
      </x:c>
      <x:c r="C320" s="2" t="e">
        <x:f>IFERROR(__xludf.DUMMYFUNCTION("IF(A320="""","""",SUMPRODUCT(--(LEFT(TO_TEXT(Eventos!B$2:B$1000),10)=A320),--(Eventos!N$2:N$1000&lt;&gt;0),Eventos!M$2:M$1000))"),"")</x:f>
        <x:v>#NAME?</x:v>
      </x:c>
      <x:c r="D320" s="2" t="e">
        <x:f>IFERROR(__xludf.DUMMYFUNCTION("IF(A320="""","""",SUMPRODUCT(--(LEFT(TO_TEXT(Eventos!B$2:B$1000),10)=A320),Eventos!N$2:N$1000))"),"")</x:f>
        <x:v>#NAME?</x:v>
      </x:c>
      <x:c r="E320" s="2" t="str">
        <x:f t="shared" si="2"/>
      </x:c>
      <x:c r="F320" s="2" t="str">
        <x:f t="shared" si="5"/>
      </x:c>
    </x:row>
    <x:row r="321">
      <x:c r="A321" s="2" t="str">
        <x:f t="shared" si="4"/>
      </x:c>
      <x:c r="B321" s="2" t="e">
        <x:f>IFERROR(__xludf.DUMMYFUNCTION("IF(A321="""","""",SUMPRODUCT(--(LEFT(TO_TEXT(Eventos!B$2:B$1000),10)=A321),--(Eventos!N$2:N$1000&lt;&gt;0),Eventos!I$2:I$1000))"),"")</x:f>
        <x:v>#NAME?</x:v>
      </x:c>
      <x:c r="C321" s="2" t="e">
        <x:f>IFERROR(__xludf.DUMMYFUNCTION("IF(A321="""","""",SUMPRODUCT(--(LEFT(TO_TEXT(Eventos!B$2:B$1000),10)=A321),--(Eventos!N$2:N$1000&lt;&gt;0),Eventos!M$2:M$1000))"),"")</x:f>
        <x:v>#NAME?</x:v>
      </x:c>
      <x:c r="D321" s="2" t="e">
        <x:f>IFERROR(__xludf.DUMMYFUNCTION("IF(A321="""","""",SUMPRODUCT(--(LEFT(TO_TEXT(Eventos!B$2:B$1000),10)=A321),Eventos!N$2:N$1000))"),"")</x:f>
        <x:v>#NAME?</x:v>
      </x:c>
      <x:c r="E321" s="2" t="str">
        <x:f t="shared" si="2"/>
      </x:c>
      <x:c r="F321" s="2" t="str">
        <x:f t="shared" si="5"/>
      </x:c>
    </x:row>
    <x:row r="322">
      <x:c r="A322" s="2" t="str">
        <x:f t="shared" si="4"/>
      </x:c>
      <x:c r="B322" s="2" t="e">
        <x:f>IFERROR(__xludf.DUMMYFUNCTION("IF(A322="""","""",SUMPRODUCT(--(LEFT(TO_TEXT(Eventos!B$2:B$1000),10)=A322),--(Eventos!N$2:N$1000&lt;&gt;0),Eventos!I$2:I$1000))"),"")</x:f>
        <x:v>#NAME?</x:v>
      </x:c>
      <x:c r="C322" s="2" t="e">
        <x:f>IFERROR(__xludf.DUMMYFUNCTION("IF(A322="""","""",SUMPRODUCT(--(LEFT(TO_TEXT(Eventos!B$2:B$1000),10)=A322),--(Eventos!N$2:N$1000&lt;&gt;0),Eventos!M$2:M$1000))"),"")</x:f>
        <x:v>#NAME?</x:v>
      </x:c>
      <x:c r="D322" s="2" t="e">
        <x:f>IFERROR(__xludf.DUMMYFUNCTION("IF(A322="""","""",SUMPRODUCT(--(LEFT(TO_TEXT(Eventos!B$2:B$1000),10)=A322),Eventos!N$2:N$1000))"),"")</x:f>
        <x:v>#NAME?</x:v>
      </x:c>
      <x:c r="E322" s="2" t="str">
        <x:f t="shared" si="2"/>
      </x:c>
      <x:c r="F322" s="2" t="str">
        <x:f t="shared" si="5"/>
      </x:c>
    </x:row>
    <x:row r="323">
      <x:c r="A323" s="2" t="str">
        <x:f t="shared" si="4"/>
      </x:c>
      <x:c r="B323" s="2" t="e">
        <x:f>IFERROR(__xludf.DUMMYFUNCTION("IF(A323="""","""",SUMPRODUCT(--(LEFT(TO_TEXT(Eventos!B$2:B$1000),10)=A323),--(Eventos!N$2:N$1000&lt;&gt;0),Eventos!I$2:I$1000))"),"")</x:f>
        <x:v>#NAME?</x:v>
      </x:c>
      <x:c r="C323" s="2" t="e">
        <x:f>IFERROR(__xludf.DUMMYFUNCTION("IF(A323="""","""",SUMPRODUCT(--(LEFT(TO_TEXT(Eventos!B$2:B$1000),10)=A323),--(Eventos!N$2:N$1000&lt;&gt;0),Eventos!M$2:M$1000))"),"")</x:f>
        <x:v>#NAME?</x:v>
      </x:c>
      <x:c r="D323" s="2" t="e">
        <x:f>IFERROR(__xludf.DUMMYFUNCTION("IF(A323="""","""",SUMPRODUCT(--(LEFT(TO_TEXT(Eventos!B$2:B$1000),10)=A323),Eventos!N$2:N$1000))"),"")</x:f>
        <x:v>#NAME?</x:v>
      </x:c>
      <x:c r="E323" s="2" t="str">
        <x:f t="shared" si="2"/>
      </x:c>
      <x:c r="F323" s="2" t="str">
        <x:f t="shared" si="5"/>
      </x:c>
    </x:row>
    <x:row r="324">
      <x:c r="A324" s="2" t="str">
        <x:f t="shared" si="4"/>
      </x:c>
      <x:c r="B324" s="2" t="e">
        <x:f>IFERROR(__xludf.DUMMYFUNCTION("IF(A324="""","""",SUMPRODUCT(--(LEFT(TO_TEXT(Eventos!B$2:B$1000),10)=A324),--(Eventos!N$2:N$1000&lt;&gt;0),Eventos!I$2:I$1000))"),"")</x:f>
        <x:v>#NAME?</x:v>
      </x:c>
      <x:c r="C324" s="2" t="e">
        <x:f>IFERROR(__xludf.DUMMYFUNCTION("IF(A324="""","""",SUMPRODUCT(--(LEFT(TO_TEXT(Eventos!B$2:B$1000),10)=A324),--(Eventos!N$2:N$1000&lt;&gt;0),Eventos!M$2:M$1000))"),"")</x:f>
        <x:v>#NAME?</x:v>
      </x:c>
      <x:c r="D324" s="2" t="e">
        <x:f>IFERROR(__xludf.DUMMYFUNCTION("IF(A324="""","""",SUMPRODUCT(--(LEFT(TO_TEXT(Eventos!B$2:B$1000),10)=A324),Eventos!N$2:N$1000))"),"")</x:f>
        <x:v>#NAME?</x:v>
      </x:c>
      <x:c r="E324" s="2" t="str">
        <x:f t="shared" si="2"/>
      </x:c>
      <x:c r="F324" s="2" t="str">
        <x:f t="shared" si="5"/>
      </x:c>
    </x:row>
    <x:row r="325">
      <x:c r="A325" s="2" t="str">
        <x:f t="shared" si="4"/>
      </x:c>
      <x:c r="B325" s="2" t="e">
        <x:f>IFERROR(__xludf.DUMMYFUNCTION("IF(A325="""","""",SUMPRODUCT(--(LEFT(TO_TEXT(Eventos!B$2:B$1000),10)=A325),--(Eventos!N$2:N$1000&lt;&gt;0),Eventos!I$2:I$1000))"),"")</x:f>
        <x:v>#NAME?</x:v>
      </x:c>
      <x:c r="C325" s="2" t="e">
        <x:f>IFERROR(__xludf.DUMMYFUNCTION("IF(A325="""","""",SUMPRODUCT(--(LEFT(TO_TEXT(Eventos!B$2:B$1000),10)=A325),--(Eventos!N$2:N$1000&lt;&gt;0),Eventos!M$2:M$1000))"),"")</x:f>
        <x:v>#NAME?</x:v>
      </x:c>
      <x:c r="D325" s="2" t="e">
        <x:f>IFERROR(__xludf.DUMMYFUNCTION("IF(A325="""","""",SUMPRODUCT(--(LEFT(TO_TEXT(Eventos!B$2:B$1000),10)=A325),Eventos!N$2:N$1000))"),"")</x:f>
        <x:v>#NAME?</x:v>
      </x:c>
      <x:c r="E325" s="2" t="str">
        <x:f t="shared" si="2"/>
      </x:c>
      <x:c r="F325" s="2" t="str">
        <x:f t="shared" si="5"/>
      </x:c>
    </x:row>
    <x:row r="326">
      <x:c r="A326" s="2" t="str">
        <x:f t="shared" si="4"/>
      </x:c>
      <x:c r="B326" s="2" t="e">
        <x:f>IFERROR(__xludf.DUMMYFUNCTION("IF(A326="""","""",SUMPRODUCT(--(LEFT(TO_TEXT(Eventos!B$2:B$1000),10)=A326),--(Eventos!N$2:N$1000&lt;&gt;0),Eventos!I$2:I$1000))"),"")</x:f>
        <x:v>#NAME?</x:v>
      </x:c>
      <x:c r="C326" s="2" t="e">
        <x:f>IFERROR(__xludf.DUMMYFUNCTION("IF(A326="""","""",SUMPRODUCT(--(LEFT(TO_TEXT(Eventos!B$2:B$1000),10)=A326),--(Eventos!N$2:N$1000&lt;&gt;0),Eventos!M$2:M$1000))"),"")</x:f>
        <x:v>#NAME?</x:v>
      </x:c>
      <x:c r="D326" s="2" t="e">
        <x:f>IFERROR(__xludf.DUMMYFUNCTION("IF(A326="""","""",SUMPRODUCT(--(LEFT(TO_TEXT(Eventos!B$2:B$1000),10)=A326),Eventos!N$2:N$1000))"),"")</x:f>
        <x:v>#NAME?</x:v>
      </x:c>
      <x:c r="E326" s="2" t="str">
        <x:f t="shared" si="2"/>
      </x:c>
      <x:c r="F326" s="2" t="str">
        <x:f t="shared" si="5"/>
      </x:c>
    </x:row>
    <x:row r="327">
      <x:c r="A327" s="2" t="str">
        <x:f t="shared" si="4"/>
      </x:c>
      <x:c r="B327" s="2" t="e">
        <x:f>IFERROR(__xludf.DUMMYFUNCTION("IF(A327="""","""",SUMPRODUCT(--(LEFT(TO_TEXT(Eventos!B$2:B$1000),10)=A327),--(Eventos!N$2:N$1000&lt;&gt;0),Eventos!I$2:I$1000))"),"")</x:f>
        <x:v>#NAME?</x:v>
      </x:c>
      <x:c r="C327" s="2" t="e">
        <x:f>IFERROR(__xludf.DUMMYFUNCTION("IF(A327="""","""",SUMPRODUCT(--(LEFT(TO_TEXT(Eventos!B$2:B$1000),10)=A327),--(Eventos!N$2:N$1000&lt;&gt;0),Eventos!M$2:M$1000))"),"")</x:f>
        <x:v>#NAME?</x:v>
      </x:c>
      <x:c r="D327" s="2" t="e">
        <x:f>IFERROR(__xludf.DUMMYFUNCTION("IF(A327="""","""",SUMPRODUCT(--(LEFT(TO_TEXT(Eventos!B$2:B$1000),10)=A327),Eventos!N$2:N$1000))"),"")</x:f>
        <x:v>#NAME?</x:v>
      </x:c>
      <x:c r="E327" s="2" t="str">
        <x:f t="shared" si="2"/>
      </x:c>
      <x:c r="F327" s="2" t="str">
        <x:f t="shared" si="5"/>
      </x:c>
    </x:row>
    <x:row r="328">
      <x:c r="A328" s="2" t="str">
        <x:f t="shared" si="4"/>
      </x:c>
      <x:c r="B328" s="2" t="e">
        <x:f>IFERROR(__xludf.DUMMYFUNCTION("IF(A328="""","""",SUMPRODUCT(--(LEFT(TO_TEXT(Eventos!B$2:B$1000),10)=A328),--(Eventos!N$2:N$1000&lt;&gt;0),Eventos!I$2:I$1000))"),"")</x:f>
        <x:v>#NAME?</x:v>
      </x:c>
      <x:c r="C328" s="2" t="e">
        <x:f>IFERROR(__xludf.DUMMYFUNCTION("IF(A328="""","""",SUMPRODUCT(--(LEFT(TO_TEXT(Eventos!B$2:B$1000),10)=A328),--(Eventos!N$2:N$1000&lt;&gt;0),Eventos!M$2:M$1000))"),"")</x:f>
        <x:v>#NAME?</x:v>
      </x:c>
      <x:c r="D328" s="2" t="e">
        <x:f>IFERROR(__xludf.DUMMYFUNCTION("IF(A328="""","""",SUMPRODUCT(--(LEFT(TO_TEXT(Eventos!B$2:B$1000),10)=A328),Eventos!N$2:N$1000))"),"")</x:f>
        <x:v>#NAME?</x:v>
      </x:c>
      <x:c r="E328" s="2" t="str">
        <x:f t="shared" si="2"/>
      </x:c>
      <x:c r="F328" s="2" t="str">
        <x:f t="shared" si="5"/>
      </x:c>
    </x:row>
    <x:row r="329">
      <x:c r="A329" s="2" t="str">
        <x:f t="shared" si="4"/>
      </x:c>
      <x:c r="B329" s="2" t="e">
        <x:f>IFERROR(__xludf.DUMMYFUNCTION("IF(A329="""","""",SUMPRODUCT(--(LEFT(TO_TEXT(Eventos!B$2:B$1000),10)=A329),--(Eventos!N$2:N$1000&lt;&gt;0),Eventos!I$2:I$1000))"),"")</x:f>
        <x:v>#NAME?</x:v>
      </x:c>
      <x:c r="C329" s="2" t="e">
        <x:f>IFERROR(__xludf.DUMMYFUNCTION("IF(A329="""","""",SUMPRODUCT(--(LEFT(TO_TEXT(Eventos!B$2:B$1000),10)=A329),--(Eventos!N$2:N$1000&lt;&gt;0),Eventos!M$2:M$1000))"),"")</x:f>
        <x:v>#NAME?</x:v>
      </x:c>
      <x:c r="D329" s="2" t="e">
        <x:f>IFERROR(__xludf.DUMMYFUNCTION("IF(A329="""","""",SUMPRODUCT(--(LEFT(TO_TEXT(Eventos!B$2:B$1000),10)=A329),Eventos!N$2:N$1000))"),"")</x:f>
        <x:v>#NAME?</x:v>
      </x:c>
      <x:c r="E329" s="2" t="str">
        <x:f t="shared" si="2"/>
      </x:c>
      <x:c r="F329" s="2" t="str">
        <x:f t="shared" si="5"/>
      </x:c>
    </x:row>
    <x:row r="330">
      <x:c r="A330" s="2" t="str">
        <x:f t="shared" si="4"/>
      </x:c>
      <x:c r="B330" s="2" t="e">
        <x:f>IFERROR(__xludf.DUMMYFUNCTION("IF(A330="""","""",SUMPRODUCT(--(LEFT(TO_TEXT(Eventos!B$2:B$1000),10)=A330),--(Eventos!N$2:N$1000&lt;&gt;0),Eventos!I$2:I$1000))"),"")</x:f>
        <x:v>#NAME?</x:v>
      </x:c>
      <x:c r="C330" s="2" t="e">
        <x:f>IFERROR(__xludf.DUMMYFUNCTION("IF(A330="""","""",SUMPRODUCT(--(LEFT(TO_TEXT(Eventos!B$2:B$1000),10)=A330),--(Eventos!N$2:N$1000&lt;&gt;0),Eventos!M$2:M$1000))"),"")</x:f>
        <x:v>#NAME?</x:v>
      </x:c>
      <x:c r="D330" s="2" t="e">
        <x:f>IFERROR(__xludf.DUMMYFUNCTION("IF(A330="""","""",SUMPRODUCT(--(LEFT(TO_TEXT(Eventos!B$2:B$1000),10)=A330),Eventos!N$2:N$1000))"),"")</x:f>
        <x:v>#NAME?</x:v>
      </x:c>
      <x:c r="E330" s="2" t="str">
        <x:f t="shared" si="2"/>
      </x:c>
      <x:c r="F330" s="2" t="str">
        <x:f t="shared" si="5"/>
      </x:c>
    </x:row>
    <x:row r="331">
      <x:c r="A331" s="2" t="str">
        <x:f t="shared" si="4"/>
      </x:c>
      <x:c r="B331" s="2" t="e">
        <x:f>IFERROR(__xludf.DUMMYFUNCTION("IF(A331="""","""",SUMPRODUCT(--(LEFT(TO_TEXT(Eventos!B$2:B$1000),10)=A331),--(Eventos!N$2:N$1000&lt;&gt;0),Eventos!I$2:I$1000))"),"")</x:f>
        <x:v>#NAME?</x:v>
      </x:c>
      <x:c r="C331" s="2" t="e">
        <x:f>IFERROR(__xludf.DUMMYFUNCTION("IF(A331="""","""",SUMPRODUCT(--(LEFT(TO_TEXT(Eventos!B$2:B$1000),10)=A331),--(Eventos!N$2:N$1000&lt;&gt;0),Eventos!M$2:M$1000))"),"")</x:f>
        <x:v>#NAME?</x:v>
      </x:c>
      <x:c r="D331" s="2" t="e">
        <x:f>IFERROR(__xludf.DUMMYFUNCTION("IF(A331="""","""",SUMPRODUCT(--(LEFT(TO_TEXT(Eventos!B$2:B$1000),10)=A331),Eventos!N$2:N$1000))"),"")</x:f>
        <x:v>#NAME?</x:v>
      </x:c>
      <x:c r="E331" s="2" t="str">
        <x:f t="shared" si="2"/>
      </x:c>
      <x:c r="F331" s="2" t="str">
        <x:f t="shared" si="5"/>
      </x:c>
    </x:row>
    <x:row r="332">
      <x:c r="A332" s="2" t="str">
        <x:f t="shared" si="4"/>
      </x:c>
      <x:c r="B332" s="2" t="e">
        <x:f>IFERROR(__xludf.DUMMYFUNCTION("IF(A332="""","""",SUMPRODUCT(--(LEFT(TO_TEXT(Eventos!B$2:B$1000),10)=A332),--(Eventos!N$2:N$1000&lt;&gt;0),Eventos!I$2:I$1000))"),"")</x:f>
        <x:v>#NAME?</x:v>
      </x:c>
      <x:c r="C332" s="2" t="e">
        <x:f>IFERROR(__xludf.DUMMYFUNCTION("IF(A332="""","""",SUMPRODUCT(--(LEFT(TO_TEXT(Eventos!B$2:B$1000),10)=A332),--(Eventos!N$2:N$1000&lt;&gt;0),Eventos!M$2:M$1000))"),"")</x:f>
        <x:v>#NAME?</x:v>
      </x:c>
      <x:c r="D332" s="2" t="e">
        <x:f>IFERROR(__xludf.DUMMYFUNCTION("IF(A332="""","""",SUMPRODUCT(--(LEFT(TO_TEXT(Eventos!B$2:B$1000),10)=A332),Eventos!N$2:N$1000))"),"")</x:f>
        <x:v>#NAME?</x:v>
      </x:c>
      <x:c r="E332" s="2" t="str">
        <x:f t="shared" si="2"/>
      </x:c>
      <x:c r="F332" s="2" t="str">
        <x:f t="shared" si="5"/>
      </x:c>
    </x:row>
    <x:row r="333">
      <x:c r="A333" s="2" t="str">
        <x:f t="shared" si="4"/>
      </x:c>
      <x:c r="B333" s="2" t="e">
        <x:f>IFERROR(__xludf.DUMMYFUNCTION("IF(A333="""","""",SUMPRODUCT(--(LEFT(TO_TEXT(Eventos!B$2:B$1000),10)=A333),--(Eventos!N$2:N$1000&lt;&gt;0),Eventos!I$2:I$1000))"),"")</x:f>
        <x:v>#NAME?</x:v>
      </x:c>
      <x:c r="C333" s="2" t="e">
        <x:f>IFERROR(__xludf.DUMMYFUNCTION("IF(A333="""","""",SUMPRODUCT(--(LEFT(TO_TEXT(Eventos!B$2:B$1000),10)=A333),--(Eventos!N$2:N$1000&lt;&gt;0),Eventos!M$2:M$1000))"),"")</x:f>
        <x:v>#NAME?</x:v>
      </x:c>
      <x:c r="D333" s="2" t="e">
        <x:f>IFERROR(__xludf.DUMMYFUNCTION("IF(A333="""","""",SUMPRODUCT(--(LEFT(TO_TEXT(Eventos!B$2:B$1000),10)=A333),Eventos!N$2:N$1000))"),"")</x:f>
        <x:v>#NAME?</x:v>
      </x:c>
      <x:c r="E333" s="2" t="str">
        <x:f t="shared" si="2"/>
      </x:c>
      <x:c r="F333" s="2" t="str">
        <x:f t="shared" si="5"/>
      </x:c>
    </x:row>
    <x:row r="334">
      <x:c r="A334" s="2" t="str">
        <x:f t="shared" si="4"/>
      </x:c>
      <x:c r="B334" s="2" t="e">
        <x:f>IFERROR(__xludf.DUMMYFUNCTION("IF(A334="""","""",SUMPRODUCT(--(LEFT(TO_TEXT(Eventos!B$2:B$1000),10)=A334),--(Eventos!N$2:N$1000&lt;&gt;0),Eventos!I$2:I$1000))"),"")</x:f>
        <x:v>#NAME?</x:v>
      </x:c>
      <x:c r="C334" s="2" t="e">
        <x:f>IFERROR(__xludf.DUMMYFUNCTION("IF(A334="""","""",SUMPRODUCT(--(LEFT(TO_TEXT(Eventos!B$2:B$1000),10)=A334),--(Eventos!N$2:N$1000&lt;&gt;0),Eventos!M$2:M$1000))"),"")</x:f>
        <x:v>#NAME?</x:v>
      </x:c>
      <x:c r="D334" s="2" t="e">
        <x:f>IFERROR(__xludf.DUMMYFUNCTION("IF(A334="""","""",SUMPRODUCT(--(LEFT(TO_TEXT(Eventos!B$2:B$1000),10)=A334),Eventos!N$2:N$1000))"),"")</x:f>
        <x:v>#NAME?</x:v>
      </x:c>
      <x:c r="E334" s="2" t="str">
        <x:f t="shared" si="2"/>
      </x:c>
      <x:c r="F334" s="2" t="str">
        <x:f t="shared" si="5"/>
      </x:c>
    </x:row>
    <x:row r="335">
      <x:c r="A335" s="2" t="str">
        <x:f t="shared" si="4"/>
      </x:c>
      <x:c r="B335" s="2" t="e">
        <x:f>IFERROR(__xludf.DUMMYFUNCTION("IF(A335="""","""",SUMPRODUCT(--(LEFT(TO_TEXT(Eventos!B$2:B$1000),10)=A335),--(Eventos!N$2:N$1000&lt;&gt;0),Eventos!I$2:I$1000))"),"")</x:f>
        <x:v>#NAME?</x:v>
      </x:c>
      <x:c r="C335" s="2" t="e">
        <x:f>IFERROR(__xludf.DUMMYFUNCTION("IF(A335="""","""",SUMPRODUCT(--(LEFT(TO_TEXT(Eventos!B$2:B$1000),10)=A335),--(Eventos!N$2:N$1000&lt;&gt;0),Eventos!M$2:M$1000))"),"")</x:f>
        <x:v>#NAME?</x:v>
      </x:c>
      <x:c r="D335" s="2" t="e">
        <x:f>IFERROR(__xludf.DUMMYFUNCTION("IF(A335="""","""",SUMPRODUCT(--(LEFT(TO_TEXT(Eventos!B$2:B$1000),10)=A335),Eventos!N$2:N$1000))"),"")</x:f>
        <x:v>#NAME?</x:v>
      </x:c>
      <x:c r="E335" s="2" t="str">
        <x:f t="shared" si="2"/>
      </x:c>
      <x:c r="F335" s="2" t="str">
        <x:f t="shared" si="5"/>
      </x:c>
    </x:row>
    <x:row r="336">
      <x:c r="A336" s="2" t="str">
        <x:f t="shared" si="4"/>
      </x:c>
      <x:c r="B336" s="2" t="e">
        <x:f>IFERROR(__xludf.DUMMYFUNCTION("IF(A336="""","""",SUMPRODUCT(--(LEFT(TO_TEXT(Eventos!B$2:B$1000),10)=A336),--(Eventos!N$2:N$1000&lt;&gt;0),Eventos!I$2:I$1000))"),"")</x:f>
        <x:v>#NAME?</x:v>
      </x:c>
      <x:c r="C336" s="2" t="e">
        <x:f>IFERROR(__xludf.DUMMYFUNCTION("IF(A336="""","""",SUMPRODUCT(--(LEFT(TO_TEXT(Eventos!B$2:B$1000),10)=A336),--(Eventos!N$2:N$1000&lt;&gt;0),Eventos!M$2:M$1000))"),"")</x:f>
        <x:v>#NAME?</x:v>
      </x:c>
      <x:c r="D336" s="2" t="e">
        <x:f>IFERROR(__xludf.DUMMYFUNCTION("IF(A336="""","""",SUMPRODUCT(--(LEFT(TO_TEXT(Eventos!B$2:B$1000),10)=A336),Eventos!N$2:N$1000))"),"")</x:f>
        <x:v>#NAME?</x:v>
      </x:c>
      <x:c r="E336" s="2" t="str">
        <x:f t="shared" si="2"/>
      </x:c>
      <x:c r="F336" s="2" t="str">
        <x:f t="shared" si="5"/>
      </x:c>
    </x:row>
    <x:row r="337">
      <x:c r="A337" s="2" t="str">
        <x:f t="shared" si="4"/>
      </x:c>
      <x:c r="B337" s="2" t="e">
        <x:f>IFERROR(__xludf.DUMMYFUNCTION("IF(A337="""","""",SUMPRODUCT(--(LEFT(TO_TEXT(Eventos!B$2:B$1000),10)=A337),--(Eventos!N$2:N$1000&lt;&gt;0),Eventos!I$2:I$1000))"),"")</x:f>
        <x:v>#NAME?</x:v>
      </x:c>
      <x:c r="C337" s="2" t="e">
        <x:f>IFERROR(__xludf.DUMMYFUNCTION("IF(A337="""","""",SUMPRODUCT(--(LEFT(TO_TEXT(Eventos!B$2:B$1000),10)=A337),--(Eventos!N$2:N$1000&lt;&gt;0),Eventos!M$2:M$1000))"),"")</x:f>
        <x:v>#NAME?</x:v>
      </x:c>
      <x:c r="D337" s="2" t="e">
        <x:f>IFERROR(__xludf.DUMMYFUNCTION("IF(A337="""","""",SUMPRODUCT(--(LEFT(TO_TEXT(Eventos!B$2:B$1000),10)=A337),Eventos!N$2:N$1000))"),"")</x:f>
        <x:v>#NAME?</x:v>
      </x:c>
      <x:c r="E337" s="2" t="str">
        <x:f t="shared" si="2"/>
      </x:c>
      <x:c r="F337" s="2" t="str">
        <x:f t="shared" si="5"/>
      </x:c>
    </x:row>
    <x:row r="338">
      <x:c r="A338" s="2" t="str">
        <x:f t="shared" si="4"/>
      </x:c>
      <x:c r="B338" s="2" t="e">
        <x:f>IFERROR(__xludf.DUMMYFUNCTION("IF(A338="""","""",SUMPRODUCT(--(LEFT(TO_TEXT(Eventos!B$2:B$1000),10)=A338),--(Eventos!N$2:N$1000&lt;&gt;0),Eventos!I$2:I$1000))"),"")</x:f>
        <x:v>#NAME?</x:v>
      </x:c>
      <x:c r="C338" s="2" t="e">
        <x:f>IFERROR(__xludf.DUMMYFUNCTION("IF(A338="""","""",SUMPRODUCT(--(LEFT(TO_TEXT(Eventos!B$2:B$1000),10)=A338),--(Eventos!N$2:N$1000&lt;&gt;0),Eventos!M$2:M$1000))"),"")</x:f>
        <x:v>#NAME?</x:v>
      </x:c>
      <x:c r="D338" s="2" t="e">
        <x:f>IFERROR(__xludf.DUMMYFUNCTION("IF(A338="""","""",SUMPRODUCT(--(LEFT(TO_TEXT(Eventos!B$2:B$1000),10)=A338),Eventos!N$2:N$1000))"),"")</x:f>
        <x:v>#NAME?</x:v>
      </x:c>
      <x:c r="E338" s="2" t="str">
        <x:f t="shared" si="2"/>
      </x:c>
      <x:c r="F338" s="2" t="str">
        <x:f t="shared" si="5"/>
      </x:c>
    </x:row>
    <x:row r="339">
      <x:c r="A339" s="2" t="str">
        <x:f t="shared" si="4"/>
      </x:c>
      <x:c r="B339" s="2" t="e">
        <x:f>IFERROR(__xludf.DUMMYFUNCTION("IF(A339="""","""",SUMPRODUCT(--(LEFT(TO_TEXT(Eventos!B$2:B$1000),10)=A339),--(Eventos!N$2:N$1000&lt;&gt;0),Eventos!I$2:I$1000))"),"")</x:f>
        <x:v>#NAME?</x:v>
      </x:c>
      <x:c r="C339" s="2" t="e">
        <x:f>IFERROR(__xludf.DUMMYFUNCTION("IF(A339="""","""",SUMPRODUCT(--(LEFT(TO_TEXT(Eventos!B$2:B$1000),10)=A339),--(Eventos!N$2:N$1000&lt;&gt;0),Eventos!M$2:M$1000))"),"")</x:f>
        <x:v>#NAME?</x:v>
      </x:c>
      <x:c r="D339" s="2" t="e">
        <x:f>IFERROR(__xludf.DUMMYFUNCTION("IF(A339="""","""",SUMPRODUCT(--(LEFT(TO_TEXT(Eventos!B$2:B$1000),10)=A339),Eventos!N$2:N$1000))"),"")</x:f>
        <x:v>#NAME?</x:v>
      </x:c>
      <x:c r="E339" s="2" t="str">
        <x:f t="shared" si="2"/>
      </x:c>
      <x:c r="F339" s="2" t="str">
        <x:f t="shared" si="5"/>
      </x:c>
    </x:row>
    <x:row r="340">
      <x:c r="A340" s="2" t="str">
        <x:f t="shared" si="4"/>
      </x:c>
      <x:c r="B340" s="2" t="e">
        <x:f>IFERROR(__xludf.DUMMYFUNCTION("IF(A340="""","""",SUMPRODUCT(--(LEFT(TO_TEXT(Eventos!B$2:B$1000),10)=A340),--(Eventos!N$2:N$1000&lt;&gt;0),Eventos!I$2:I$1000))"),"")</x:f>
        <x:v>#NAME?</x:v>
      </x:c>
      <x:c r="C340" s="2" t="e">
        <x:f>IFERROR(__xludf.DUMMYFUNCTION("IF(A340="""","""",SUMPRODUCT(--(LEFT(TO_TEXT(Eventos!B$2:B$1000),10)=A340),--(Eventos!N$2:N$1000&lt;&gt;0),Eventos!M$2:M$1000))"),"")</x:f>
        <x:v>#NAME?</x:v>
      </x:c>
      <x:c r="D340" s="2" t="e">
        <x:f>IFERROR(__xludf.DUMMYFUNCTION("IF(A340="""","""",SUMPRODUCT(--(LEFT(TO_TEXT(Eventos!B$2:B$1000),10)=A340),Eventos!N$2:N$1000))"),"")</x:f>
        <x:v>#NAME?</x:v>
      </x:c>
      <x:c r="E340" s="2" t="str">
        <x:f t="shared" si="2"/>
      </x:c>
      <x:c r="F340" s="2" t="str">
        <x:f t="shared" si="5"/>
      </x:c>
    </x:row>
    <x:row r="341">
      <x:c r="A341" s="2" t="str">
        <x:f t="shared" si="4"/>
      </x:c>
      <x:c r="B341" s="2" t="e">
        <x:f>IFERROR(__xludf.DUMMYFUNCTION("IF(A341="""","""",SUMPRODUCT(--(LEFT(TO_TEXT(Eventos!B$2:B$1000),10)=A341),--(Eventos!N$2:N$1000&lt;&gt;0),Eventos!I$2:I$1000))"),"")</x:f>
        <x:v>#NAME?</x:v>
      </x:c>
      <x:c r="C341" s="2" t="e">
        <x:f>IFERROR(__xludf.DUMMYFUNCTION("IF(A341="""","""",SUMPRODUCT(--(LEFT(TO_TEXT(Eventos!B$2:B$1000),10)=A341),--(Eventos!N$2:N$1000&lt;&gt;0),Eventos!M$2:M$1000))"),"")</x:f>
        <x:v>#NAME?</x:v>
      </x:c>
      <x:c r="D341" s="2" t="e">
        <x:f>IFERROR(__xludf.DUMMYFUNCTION("IF(A341="""","""",SUMPRODUCT(--(LEFT(TO_TEXT(Eventos!B$2:B$1000),10)=A341),Eventos!N$2:N$1000))"),"")</x:f>
        <x:v>#NAME?</x:v>
      </x:c>
      <x:c r="E341" s="2" t="str">
        <x:f t="shared" si="2"/>
      </x:c>
      <x:c r="F341" s="2" t="str">
        <x:f t="shared" si="5"/>
      </x:c>
    </x:row>
    <x:row r="342">
      <x:c r="A342" s="2" t="str">
        <x:f t="shared" si="4"/>
      </x:c>
      <x:c r="B342" s="2" t="e">
        <x:f>IFERROR(__xludf.DUMMYFUNCTION("IF(A342="""","""",SUMPRODUCT(--(LEFT(TO_TEXT(Eventos!B$2:B$1000),10)=A342),--(Eventos!N$2:N$1000&lt;&gt;0),Eventos!I$2:I$1000))"),"")</x:f>
        <x:v>#NAME?</x:v>
      </x:c>
      <x:c r="C342" s="2" t="e">
        <x:f>IFERROR(__xludf.DUMMYFUNCTION("IF(A342="""","""",SUMPRODUCT(--(LEFT(TO_TEXT(Eventos!B$2:B$1000),10)=A342),--(Eventos!N$2:N$1000&lt;&gt;0),Eventos!M$2:M$1000))"),"")</x:f>
        <x:v>#NAME?</x:v>
      </x:c>
      <x:c r="D342" s="2" t="e">
        <x:f>IFERROR(__xludf.DUMMYFUNCTION("IF(A342="""","""",SUMPRODUCT(--(LEFT(TO_TEXT(Eventos!B$2:B$1000),10)=A342),Eventos!N$2:N$1000))"),"")</x:f>
        <x:v>#NAME?</x:v>
      </x:c>
      <x:c r="E342" s="2" t="str">
        <x:f t="shared" si="2"/>
      </x:c>
      <x:c r="F342" s="2" t="str">
        <x:f t="shared" si="5"/>
      </x:c>
    </x:row>
    <x:row r="343">
      <x:c r="A343" s="2" t="str">
        <x:f t="shared" si="4"/>
      </x:c>
      <x:c r="B343" s="2" t="e">
        <x:f>IFERROR(__xludf.DUMMYFUNCTION("IF(A343="""","""",SUMPRODUCT(--(LEFT(TO_TEXT(Eventos!B$2:B$1000),10)=A343),--(Eventos!N$2:N$1000&lt;&gt;0),Eventos!I$2:I$1000))"),"")</x:f>
        <x:v>#NAME?</x:v>
      </x:c>
      <x:c r="C343" s="2" t="e">
        <x:f>IFERROR(__xludf.DUMMYFUNCTION("IF(A343="""","""",SUMPRODUCT(--(LEFT(TO_TEXT(Eventos!B$2:B$1000),10)=A343),--(Eventos!N$2:N$1000&lt;&gt;0),Eventos!M$2:M$1000))"),"")</x:f>
        <x:v>#NAME?</x:v>
      </x:c>
      <x:c r="D343" s="2" t="e">
        <x:f>IFERROR(__xludf.DUMMYFUNCTION("IF(A343="""","""",SUMPRODUCT(--(LEFT(TO_TEXT(Eventos!B$2:B$1000),10)=A343),Eventos!N$2:N$1000))"),"")</x:f>
        <x:v>#NAME?</x:v>
      </x:c>
      <x:c r="E343" s="2" t="str">
        <x:f t="shared" si="2"/>
      </x:c>
      <x:c r="F343" s="2" t="str">
        <x:f t="shared" si="5"/>
      </x:c>
    </x:row>
    <x:row r="344">
      <x:c r="A344" s="2" t="str">
        <x:f t="shared" si="4"/>
      </x:c>
      <x:c r="B344" s="2" t="e">
        <x:f>IFERROR(__xludf.DUMMYFUNCTION("IF(A344="""","""",SUMPRODUCT(--(LEFT(TO_TEXT(Eventos!B$2:B$1000),10)=A344),--(Eventos!N$2:N$1000&lt;&gt;0),Eventos!I$2:I$1000))"),"")</x:f>
        <x:v>#NAME?</x:v>
      </x:c>
      <x:c r="C344" s="2" t="e">
        <x:f>IFERROR(__xludf.DUMMYFUNCTION("IF(A344="""","""",SUMPRODUCT(--(LEFT(TO_TEXT(Eventos!B$2:B$1000),10)=A344),--(Eventos!N$2:N$1000&lt;&gt;0),Eventos!M$2:M$1000))"),"")</x:f>
        <x:v>#NAME?</x:v>
      </x:c>
      <x:c r="D344" s="2" t="e">
        <x:f>IFERROR(__xludf.DUMMYFUNCTION("IF(A344="""","""",SUMPRODUCT(--(LEFT(TO_TEXT(Eventos!B$2:B$1000),10)=A344),Eventos!N$2:N$1000))"),"")</x:f>
        <x:v>#NAME?</x:v>
      </x:c>
      <x:c r="E344" s="2" t="str">
        <x:f t="shared" si="2"/>
      </x:c>
      <x:c r="F344" s="2" t="str">
        <x:f t="shared" si="5"/>
      </x:c>
    </x:row>
    <x:row r="345">
      <x:c r="A345" s="2" t="str">
        <x:f t="shared" si="4"/>
      </x:c>
      <x:c r="B345" s="2" t="e">
        <x:f>IFERROR(__xludf.DUMMYFUNCTION("IF(A345="""","""",SUMPRODUCT(--(LEFT(TO_TEXT(Eventos!B$2:B$1000),10)=A345),--(Eventos!N$2:N$1000&lt;&gt;0),Eventos!I$2:I$1000))"),"")</x:f>
        <x:v>#NAME?</x:v>
      </x:c>
      <x:c r="C345" s="2" t="e">
        <x:f>IFERROR(__xludf.DUMMYFUNCTION("IF(A345="""","""",SUMPRODUCT(--(LEFT(TO_TEXT(Eventos!B$2:B$1000),10)=A345),--(Eventos!N$2:N$1000&lt;&gt;0),Eventos!M$2:M$1000))"),"")</x:f>
        <x:v>#NAME?</x:v>
      </x:c>
      <x:c r="D345" s="2" t="e">
        <x:f>IFERROR(__xludf.DUMMYFUNCTION("IF(A345="""","""",SUMPRODUCT(--(LEFT(TO_TEXT(Eventos!B$2:B$1000),10)=A345),Eventos!N$2:N$1000))"),"")</x:f>
        <x:v>#NAME?</x:v>
      </x:c>
      <x:c r="E345" s="2" t="str">
        <x:f t="shared" si="2"/>
      </x:c>
      <x:c r="F345" s="2" t="str">
        <x:f t="shared" si="5"/>
      </x:c>
    </x:row>
    <x:row r="346">
      <x:c r="A346" s="2" t="str">
        <x:f t="shared" si="4"/>
      </x:c>
      <x:c r="B346" s="2" t="e">
        <x:f>IFERROR(__xludf.DUMMYFUNCTION("IF(A346="""","""",SUMPRODUCT(--(LEFT(TO_TEXT(Eventos!B$2:B$1000),10)=A346),--(Eventos!N$2:N$1000&lt;&gt;0),Eventos!I$2:I$1000))"),"")</x:f>
        <x:v>#NAME?</x:v>
      </x:c>
      <x:c r="C346" s="2" t="e">
        <x:f>IFERROR(__xludf.DUMMYFUNCTION("IF(A346="""","""",SUMPRODUCT(--(LEFT(TO_TEXT(Eventos!B$2:B$1000),10)=A346),--(Eventos!N$2:N$1000&lt;&gt;0),Eventos!M$2:M$1000))"),"")</x:f>
        <x:v>#NAME?</x:v>
      </x:c>
      <x:c r="D346" s="2" t="e">
        <x:f>IFERROR(__xludf.DUMMYFUNCTION("IF(A346="""","""",SUMPRODUCT(--(LEFT(TO_TEXT(Eventos!B$2:B$1000),10)=A346),Eventos!N$2:N$1000))"),"")</x:f>
        <x:v>#NAME?</x:v>
      </x:c>
      <x:c r="E346" s="2" t="str">
        <x:f t="shared" si="2"/>
      </x:c>
      <x:c r="F346" s="2" t="str">
        <x:f t="shared" si="5"/>
      </x:c>
    </x:row>
    <x:row r="347">
      <x:c r="A347" s="2" t="str">
        <x:f t="shared" si="4"/>
      </x:c>
      <x:c r="B347" s="2" t="e">
        <x:f>IFERROR(__xludf.DUMMYFUNCTION("IF(A347="""","""",SUMPRODUCT(--(LEFT(TO_TEXT(Eventos!B$2:B$1000),10)=A347),--(Eventos!N$2:N$1000&lt;&gt;0),Eventos!I$2:I$1000))"),"")</x:f>
        <x:v>#NAME?</x:v>
      </x:c>
      <x:c r="C347" s="2" t="e">
        <x:f>IFERROR(__xludf.DUMMYFUNCTION("IF(A347="""","""",SUMPRODUCT(--(LEFT(TO_TEXT(Eventos!B$2:B$1000),10)=A347),--(Eventos!N$2:N$1000&lt;&gt;0),Eventos!M$2:M$1000))"),"")</x:f>
        <x:v>#NAME?</x:v>
      </x:c>
      <x:c r="D347" s="2" t="e">
        <x:f>IFERROR(__xludf.DUMMYFUNCTION("IF(A347="""","""",SUMPRODUCT(--(LEFT(TO_TEXT(Eventos!B$2:B$1000),10)=A347),Eventos!N$2:N$1000))"),"")</x:f>
        <x:v>#NAME?</x:v>
      </x:c>
      <x:c r="E347" s="2" t="str">
        <x:f t="shared" si="2"/>
      </x:c>
      <x:c r="F347" s="2" t="str">
        <x:f t="shared" si="5"/>
      </x:c>
    </x:row>
    <x:row r="348">
      <x:c r="A348" s="2" t="str">
        <x:f t="shared" si="4"/>
      </x:c>
      <x:c r="B348" s="2" t="e">
        <x:f>IFERROR(__xludf.DUMMYFUNCTION("IF(A348="""","""",SUMPRODUCT(--(LEFT(TO_TEXT(Eventos!B$2:B$1000),10)=A348),--(Eventos!N$2:N$1000&lt;&gt;0),Eventos!I$2:I$1000))"),"")</x:f>
        <x:v>#NAME?</x:v>
      </x:c>
      <x:c r="C348" s="2" t="e">
        <x:f>IFERROR(__xludf.DUMMYFUNCTION("IF(A348="""","""",SUMPRODUCT(--(LEFT(TO_TEXT(Eventos!B$2:B$1000),10)=A348),--(Eventos!N$2:N$1000&lt;&gt;0),Eventos!M$2:M$1000))"),"")</x:f>
        <x:v>#NAME?</x:v>
      </x:c>
      <x:c r="D348" s="2" t="e">
        <x:f>IFERROR(__xludf.DUMMYFUNCTION("IF(A348="""","""",SUMPRODUCT(--(LEFT(TO_TEXT(Eventos!B$2:B$1000),10)=A348),Eventos!N$2:N$1000))"),"")</x:f>
        <x:v>#NAME?</x:v>
      </x:c>
      <x:c r="E348" s="2" t="str">
        <x:f t="shared" si="2"/>
      </x:c>
      <x:c r="F348" s="2" t="str">
        <x:f t="shared" si="5"/>
      </x:c>
    </x:row>
    <x:row r="349">
      <x:c r="A349" s="2" t="str">
        <x:f t="shared" si="4"/>
      </x:c>
      <x:c r="B349" s="2" t="e">
        <x:f>IFERROR(__xludf.DUMMYFUNCTION("IF(A349="""","""",SUMPRODUCT(--(LEFT(TO_TEXT(Eventos!B$2:B$1000),10)=A349),--(Eventos!N$2:N$1000&lt;&gt;0),Eventos!I$2:I$1000))"),"")</x:f>
        <x:v>#NAME?</x:v>
      </x:c>
      <x:c r="C349" s="2" t="e">
        <x:f>IFERROR(__xludf.DUMMYFUNCTION("IF(A349="""","""",SUMPRODUCT(--(LEFT(TO_TEXT(Eventos!B$2:B$1000),10)=A349),--(Eventos!N$2:N$1000&lt;&gt;0),Eventos!M$2:M$1000))"),"")</x:f>
        <x:v>#NAME?</x:v>
      </x:c>
      <x:c r="D349" s="2" t="e">
        <x:f>IFERROR(__xludf.DUMMYFUNCTION("IF(A349="""","""",SUMPRODUCT(--(LEFT(TO_TEXT(Eventos!B$2:B$1000),10)=A349),Eventos!N$2:N$1000))"),"")</x:f>
        <x:v>#NAME?</x:v>
      </x:c>
      <x:c r="E349" s="2" t="str">
        <x:f t="shared" si="2"/>
      </x:c>
      <x:c r="F349" s="2" t="str">
        <x:f t="shared" si="5"/>
      </x:c>
    </x:row>
    <x:row r="350">
      <x:c r="A350" s="2" t="str">
        <x:f t="shared" si="4"/>
      </x:c>
      <x:c r="B350" s="2" t="e">
        <x:f>IFERROR(__xludf.DUMMYFUNCTION("IF(A350="""","""",SUMPRODUCT(--(LEFT(TO_TEXT(Eventos!B$2:B$1000),10)=A350),--(Eventos!N$2:N$1000&lt;&gt;0),Eventos!I$2:I$1000))"),"")</x:f>
        <x:v>#NAME?</x:v>
      </x:c>
      <x:c r="C350" s="2" t="e">
        <x:f>IFERROR(__xludf.DUMMYFUNCTION("IF(A350="""","""",SUMPRODUCT(--(LEFT(TO_TEXT(Eventos!B$2:B$1000),10)=A350),--(Eventos!N$2:N$1000&lt;&gt;0),Eventos!M$2:M$1000))"),"")</x:f>
        <x:v>#NAME?</x:v>
      </x:c>
      <x:c r="D350" s="2" t="e">
        <x:f>IFERROR(__xludf.DUMMYFUNCTION("IF(A350="""","""",SUMPRODUCT(--(LEFT(TO_TEXT(Eventos!B$2:B$1000),10)=A350),Eventos!N$2:N$1000))"),"")</x:f>
        <x:v>#NAME?</x:v>
      </x:c>
      <x:c r="E350" s="2" t="str">
        <x:f t="shared" si="2"/>
      </x:c>
      <x:c r="F350" s="2" t="str">
        <x:f t="shared" si="5"/>
      </x:c>
    </x:row>
    <x:row r="351">
      <x:c r="A351" s="2" t="str">
        <x:f t="shared" si="4"/>
      </x:c>
      <x:c r="B351" s="2" t="e">
        <x:f>IFERROR(__xludf.DUMMYFUNCTION("IF(A351="""","""",SUMPRODUCT(--(LEFT(TO_TEXT(Eventos!B$2:B$1000),10)=A351),--(Eventos!N$2:N$1000&lt;&gt;0),Eventos!I$2:I$1000))"),"")</x:f>
        <x:v>#NAME?</x:v>
      </x:c>
      <x:c r="C351" s="2" t="e">
        <x:f>IFERROR(__xludf.DUMMYFUNCTION("IF(A351="""","""",SUMPRODUCT(--(LEFT(TO_TEXT(Eventos!B$2:B$1000),10)=A351),--(Eventos!N$2:N$1000&lt;&gt;0),Eventos!M$2:M$1000))"),"")</x:f>
        <x:v>#NAME?</x:v>
      </x:c>
      <x:c r="D351" s="2" t="e">
        <x:f>IFERROR(__xludf.DUMMYFUNCTION("IF(A351="""","""",SUMPRODUCT(--(LEFT(TO_TEXT(Eventos!B$2:B$1000),10)=A351),Eventos!N$2:N$1000))"),"")</x:f>
        <x:v>#NAME?</x:v>
      </x:c>
      <x:c r="E351" s="2" t="str">
        <x:f t="shared" si="2"/>
      </x:c>
      <x:c r="F351" s="2" t="str">
        <x:f t="shared" si="5"/>
      </x:c>
    </x:row>
    <x:row r="352">
      <x:c r="A352" s="2" t="str">
        <x:f t="shared" si="4"/>
      </x:c>
      <x:c r="B352" s="2" t="e">
        <x:f>IFERROR(__xludf.DUMMYFUNCTION("IF(A352="""","""",SUMPRODUCT(--(LEFT(TO_TEXT(Eventos!B$2:B$1000),10)=A352),--(Eventos!N$2:N$1000&lt;&gt;0),Eventos!I$2:I$1000))"),"")</x:f>
        <x:v>#NAME?</x:v>
      </x:c>
      <x:c r="C352" s="2" t="e">
        <x:f>IFERROR(__xludf.DUMMYFUNCTION("IF(A352="""","""",SUMPRODUCT(--(LEFT(TO_TEXT(Eventos!B$2:B$1000),10)=A352),--(Eventos!N$2:N$1000&lt;&gt;0),Eventos!M$2:M$1000))"),"")</x:f>
        <x:v>#NAME?</x:v>
      </x:c>
      <x:c r="D352" s="2" t="e">
        <x:f>IFERROR(__xludf.DUMMYFUNCTION("IF(A352="""","""",SUMPRODUCT(--(LEFT(TO_TEXT(Eventos!B$2:B$1000),10)=A352),Eventos!N$2:N$1000))"),"")</x:f>
        <x:v>#NAME?</x:v>
      </x:c>
      <x:c r="E352" s="2" t="str">
        <x:f t="shared" si="2"/>
      </x:c>
      <x:c r="F352" s="2" t="str">
        <x:f t="shared" si="5"/>
      </x:c>
    </x:row>
    <x:row r="353">
      <x:c r="A353" s="2" t="str">
        <x:f t="shared" si="4"/>
      </x:c>
      <x:c r="B353" s="2" t="e">
        <x:f>IFERROR(__xludf.DUMMYFUNCTION("IF(A353="""","""",SUMPRODUCT(--(LEFT(TO_TEXT(Eventos!B$2:B$1000),10)=A353),--(Eventos!N$2:N$1000&lt;&gt;0),Eventos!I$2:I$1000))"),"")</x:f>
        <x:v>#NAME?</x:v>
      </x:c>
      <x:c r="C353" s="2" t="e">
        <x:f>IFERROR(__xludf.DUMMYFUNCTION("IF(A353="""","""",SUMPRODUCT(--(LEFT(TO_TEXT(Eventos!B$2:B$1000),10)=A353),--(Eventos!N$2:N$1000&lt;&gt;0),Eventos!M$2:M$1000))"),"")</x:f>
        <x:v>#NAME?</x:v>
      </x:c>
      <x:c r="D353" s="2" t="e">
        <x:f>IFERROR(__xludf.DUMMYFUNCTION("IF(A353="""","""",SUMPRODUCT(--(LEFT(TO_TEXT(Eventos!B$2:B$1000),10)=A353),Eventos!N$2:N$1000))"),"")</x:f>
        <x:v>#NAME?</x:v>
      </x:c>
      <x:c r="E353" s="2" t="str">
        <x:f t="shared" si="2"/>
      </x:c>
      <x:c r="F353" s="2" t="str">
        <x:f t="shared" si="5"/>
      </x:c>
    </x:row>
    <x:row r="354">
      <x:c r="A354" s="2" t="str">
        <x:f t="shared" si="4"/>
      </x:c>
      <x:c r="B354" s="2" t="e">
        <x:f>IFERROR(__xludf.DUMMYFUNCTION("IF(A354="""","""",SUMPRODUCT(--(LEFT(TO_TEXT(Eventos!B$2:B$1000),10)=A354),--(Eventos!N$2:N$1000&lt;&gt;0),Eventos!I$2:I$1000))"),"")</x:f>
        <x:v>#NAME?</x:v>
      </x:c>
      <x:c r="C354" s="2" t="e">
        <x:f>IFERROR(__xludf.DUMMYFUNCTION("IF(A354="""","""",SUMPRODUCT(--(LEFT(TO_TEXT(Eventos!B$2:B$1000),10)=A354),--(Eventos!N$2:N$1000&lt;&gt;0),Eventos!M$2:M$1000))"),"")</x:f>
        <x:v>#NAME?</x:v>
      </x:c>
      <x:c r="D354" s="2" t="e">
        <x:f>IFERROR(__xludf.DUMMYFUNCTION("IF(A354="""","""",SUMPRODUCT(--(LEFT(TO_TEXT(Eventos!B$2:B$1000),10)=A354),Eventos!N$2:N$1000))"),"")</x:f>
        <x:v>#NAME?</x:v>
      </x:c>
      <x:c r="E354" s="2" t="str">
        <x:f t="shared" si="2"/>
      </x:c>
      <x:c r="F354" s="2" t="str">
        <x:f t="shared" si="5"/>
      </x:c>
    </x:row>
    <x:row r="355">
      <x:c r="A355" s="2" t="str">
        <x:f t="shared" si="4"/>
      </x:c>
      <x:c r="B355" s="2" t="e">
        <x:f>IFERROR(__xludf.DUMMYFUNCTION("IF(A355="""","""",SUMPRODUCT(--(LEFT(TO_TEXT(Eventos!B$2:B$1000),10)=A355),--(Eventos!N$2:N$1000&lt;&gt;0),Eventos!I$2:I$1000))"),"")</x:f>
        <x:v>#NAME?</x:v>
      </x:c>
      <x:c r="C355" s="2" t="e">
        <x:f>IFERROR(__xludf.DUMMYFUNCTION("IF(A355="""","""",SUMPRODUCT(--(LEFT(TO_TEXT(Eventos!B$2:B$1000),10)=A355),--(Eventos!N$2:N$1000&lt;&gt;0),Eventos!M$2:M$1000))"),"")</x:f>
        <x:v>#NAME?</x:v>
      </x:c>
      <x:c r="D355" s="2" t="e">
        <x:f>IFERROR(__xludf.DUMMYFUNCTION("IF(A355="""","""",SUMPRODUCT(--(LEFT(TO_TEXT(Eventos!B$2:B$1000),10)=A355),Eventos!N$2:N$1000))"),"")</x:f>
        <x:v>#NAME?</x:v>
      </x:c>
      <x:c r="E355" s="2" t="str">
        <x:f t="shared" si="2"/>
      </x:c>
      <x:c r="F355" s="2" t="str">
        <x:f t="shared" si="5"/>
      </x:c>
    </x:row>
    <x:row r="356">
      <x:c r="A356" s="2" t="str">
        <x:f t="shared" si="4"/>
      </x:c>
      <x:c r="B356" s="2" t="e">
        <x:f>IFERROR(__xludf.DUMMYFUNCTION("IF(A356="""","""",SUMPRODUCT(--(LEFT(TO_TEXT(Eventos!B$2:B$1000),10)=A356),--(Eventos!N$2:N$1000&lt;&gt;0),Eventos!I$2:I$1000))"),"")</x:f>
        <x:v>#NAME?</x:v>
      </x:c>
      <x:c r="C356" s="2" t="e">
        <x:f>IFERROR(__xludf.DUMMYFUNCTION("IF(A356="""","""",SUMPRODUCT(--(LEFT(TO_TEXT(Eventos!B$2:B$1000),10)=A356),--(Eventos!N$2:N$1000&lt;&gt;0),Eventos!M$2:M$1000))"),"")</x:f>
        <x:v>#NAME?</x:v>
      </x:c>
      <x:c r="D356" s="2" t="e">
        <x:f>IFERROR(__xludf.DUMMYFUNCTION("IF(A356="""","""",SUMPRODUCT(--(LEFT(TO_TEXT(Eventos!B$2:B$1000),10)=A356),Eventos!N$2:N$1000))"),"")</x:f>
        <x:v>#NAME?</x:v>
      </x:c>
      <x:c r="E356" s="2" t="str">
        <x:f t="shared" si="2"/>
      </x:c>
      <x:c r="F356" s="2" t="str">
        <x:f t="shared" si="5"/>
      </x:c>
    </x:row>
    <x:row r="357">
      <x:c r="A357" s="2" t="str">
        <x:f t="shared" si="4"/>
      </x:c>
      <x:c r="B357" s="2" t="e">
        <x:f>IFERROR(__xludf.DUMMYFUNCTION("IF(A357="""","""",SUMPRODUCT(--(LEFT(TO_TEXT(Eventos!B$2:B$1000),10)=A357),--(Eventos!N$2:N$1000&lt;&gt;0),Eventos!I$2:I$1000))"),"")</x:f>
        <x:v>#NAME?</x:v>
      </x:c>
      <x:c r="C357" s="2" t="e">
        <x:f>IFERROR(__xludf.DUMMYFUNCTION("IF(A357="""","""",SUMPRODUCT(--(LEFT(TO_TEXT(Eventos!B$2:B$1000),10)=A357),--(Eventos!N$2:N$1000&lt;&gt;0),Eventos!M$2:M$1000))"),"")</x:f>
        <x:v>#NAME?</x:v>
      </x:c>
      <x:c r="D357" s="2" t="e">
        <x:f>IFERROR(__xludf.DUMMYFUNCTION("IF(A357="""","""",SUMPRODUCT(--(LEFT(TO_TEXT(Eventos!B$2:B$1000),10)=A357),Eventos!N$2:N$1000))"),"")</x:f>
        <x:v>#NAME?</x:v>
      </x:c>
      <x:c r="E357" s="2" t="str">
        <x:f t="shared" si="2"/>
      </x:c>
      <x:c r="F357" s="2" t="str">
        <x:f t="shared" si="5"/>
      </x:c>
    </x:row>
    <x:row r="358">
      <x:c r="A358" s="2" t="str">
        <x:f t="shared" si="4"/>
      </x:c>
      <x:c r="B358" s="2" t="e">
        <x:f>IFERROR(__xludf.DUMMYFUNCTION("IF(A358="""","""",SUMPRODUCT(--(LEFT(TO_TEXT(Eventos!B$2:B$1000),10)=A358),--(Eventos!N$2:N$1000&lt;&gt;0),Eventos!I$2:I$1000))"),"")</x:f>
        <x:v>#NAME?</x:v>
      </x:c>
      <x:c r="C358" s="2" t="e">
        <x:f>IFERROR(__xludf.DUMMYFUNCTION("IF(A358="""","""",SUMPRODUCT(--(LEFT(TO_TEXT(Eventos!B$2:B$1000),10)=A358),--(Eventos!N$2:N$1000&lt;&gt;0),Eventos!M$2:M$1000))"),"")</x:f>
        <x:v>#NAME?</x:v>
      </x:c>
      <x:c r="D358" s="2" t="e">
        <x:f>IFERROR(__xludf.DUMMYFUNCTION("IF(A358="""","""",SUMPRODUCT(--(LEFT(TO_TEXT(Eventos!B$2:B$1000),10)=A358),Eventos!N$2:N$1000))"),"")</x:f>
        <x:v>#NAME?</x:v>
      </x:c>
      <x:c r="E358" s="2" t="str">
        <x:f t="shared" si="2"/>
      </x:c>
      <x:c r="F358" s="2" t="str">
        <x:f t="shared" si="5"/>
      </x:c>
    </x:row>
    <x:row r="359">
      <x:c r="A359" s="2" t="str">
        <x:f t="shared" si="4"/>
      </x:c>
      <x:c r="B359" s="2" t="e">
        <x:f>IFERROR(__xludf.DUMMYFUNCTION("IF(A359="""","""",SUMPRODUCT(--(LEFT(TO_TEXT(Eventos!B$2:B$1000),10)=A359),--(Eventos!N$2:N$1000&lt;&gt;0),Eventos!I$2:I$1000))"),"")</x:f>
        <x:v>#NAME?</x:v>
      </x:c>
      <x:c r="C359" s="2" t="e">
        <x:f>IFERROR(__xludf.DUMMYFUNCTION("IF(A359="""","""",SUMPRODUCT(--(LEFT(TO_TEXT(Eventos!B$2:B$1000),10)=A359),--(Eventos!N$2:N$1000&lt;&gt;0),Eventos!M$2:M$1000))"),"")</x:f>
        <x:v>#NAME?</x:v>
      </x:c>
      <x:c r="D359" s="2" t="e">
        <x:f>IFERROR(__xludf.DUMMYFUNCTION("IF(A359="""","""",SUMPRODUCT(--(LEFT(TO_TEXT(Eventos!B$2:B$1000),10)=A359),Eventos!N$2:N$1000))"),"")</x:f>
        <x:v>#NAME?</x:v>
      </x:c>
      <x:c r="E359" s="2" t="str">
        <x:f t="shared" si="2"/>
      </x:c>
      <x:c r="F359" s="2" t="str">
        <x:f t="shared" si="5"/>
      </x:c>
    </x:row>
    <x:row r="360">
      <x:c r="A360" s="2" t="str">
        <x:f t="shared" si="4"/>
      </x:c>
      <x:c r="B360" s="2" t="e">
        <x:f>IFERROR(__xludf.DUMMYFUNCTION("IF(A360="""","""",SUMPRODUCT(--(LEFT(TO_TEXT(Eventos!B$2:B$1000),10)=A360),--(Eventos!N$2:N$1000&lt;&gt;0),Eventos!I$2:I$1000))"),"")</x:f>
        <x:v>#NAME?</x:v>
      </x:c>
      <x:c r="C360" s="2" t="e">
        <x:f>IFERROR(__xludf.DUMMYFUNCTION("IF(A360="""","""",SUMPRODUCT(--(LEFT(TO_TEXT(Eventos!B$2:B$1000),10)=A360),--(Eventos!N$2:N$1000&lt;&gt;0),Eventos!M$2:M$1000))"),"")</x:f>
        <x:v>#NAME?</x:v>
      </x:c>
      <x:c r="D360" s="2" t="e">
        <x:f>IFERROR(__xludf.DUMMYFUNCTION("IF(A360="""","""",SUMPRODUCT(--(LEFT(TO_TEXT(Eventos!B$2:B$1000),10)=A360),Eventos!N$2:N$1000))"),"")</x:f>
        <x:v>#NAME?</x:v>
      </x:c>
      <x:c r="E360" s="2" t="str">
        <x:f t="shared" si="2"/>
      </x:c>
      <x:c r="F360" s="2" t="str">
        <x:f t="shared" si="5"/>
      </x:c>
    </x:row>
    <x:row r="361">
      <x:c r="A361" s="2" t="str">
        <x:f t="shared" si="4"/>
      </x:c>
      <x:c r="B361" s="2" t="e">
        <x:f>IFERROR(__xludf.DUMMYFUNCTION("IF(A361="""","""",SUMPRODUCT(--(LEFT(TO_TEXT(Eventos!B$2:B$1000),10)=A361),--(Eventos!N$2:N$1000&lt;&gt;0),Eventos!I$2:I$1000))"),"")</x:f>
        <x:v>#NAME?</x:v>
      </x:c>
      <x:c r="C361" s="2" t="e">
        <x:f>IFERROR(__xludf.DUMMYFUNCTION("IF(A361="""","""",SUMPRODUCT(--(LEFT(TO_TEXT(Eventos!B$2:B$1000),10)=A361),--(Eventos!N$2:N$1000&lt;&gt;0),Eventos!M$2:M$1000))"),"")</x:f>
        <x:v>#NAME?</x:v>
      </x:c>
      <x:c r="D361" s="2" t="e">
        <x:f>IFERROR(__xludf.DUMMYFUNCTION("IF(A361="""","""",SUMPRODUCT(--(LEFT(TO_TEXT(Eventos!B$2:B$1000),10)=A361),Eventos!N$2:N$1000))"),"")</x:f>
        <x:v>#NAME?</x:v>
      </x:c>
      <x:c r="E361" s="2" t="str">
        <x:f t="shared" si="2"/>
      </x:c>
      <x:c r="F361" s="2" t="str">
        <x:f t="shared" si="5"/>
      </x:c>
    </x:row>
    <x:row r="362">
      <x:c r="A362" s="2" t="str">
        <x:f t="shared" si="4"/>
      </x:c>
      <x:c r="B362" s="2" t="e">
        <x:f>IFERROR(__xludf.DUMMYFUNCTION("IF(A362="""","""",SUMPRODUCT(--(LEFT(TO_TEXT(Eventos!B$2:B$1000),10)=A362),--(Eventos!N$2:N$1000&lt;&gt;0),Eventos!I$2:I$1000))"),"")</x:f>
        <x:v>#NAME?</x:v>
      </x:c>
      <x:c r="C362" s="2" t="e">
        <x:f>IFERROR(__xludf.DUMMYFUNCTION("IF(A362="""","""",SUMPRODUCT(--(LEFT(TO_TEXT(Eventos!B$2:B$1000),10)=A362),--(Eventos!N$2:N$1000&lt;&gt;0),Eventos!M$2:M$1000))"),"")</x:f>
        <x:v>#NAME?</x:v>
      </x:c>
      <x:c r="D362" s="2" t="e">
        <x:f>IFERROR(__xludf.DUMMYFUNCTION("IF(A362="""","""",SUMPRODUCT(--(LEFT(TO_TEXT(Eventos!B$2:B$1000),10)=A362),Eventos!N$2:N$1000))"),"")</x:f>
        <x:v>#NAME?</x:v>
      </x:c>
      <x:c r="E362" s="2" t="str">
        <x:f t="shared" si="2"/>
      </x:c>
      <x:c r="F362" s="2" t="str">
        <x:f t="shared" si="5"/>
      </x:c>
    </x:row>
    <x:row r="363">
      <x:c r="A363" s="2" t="str">
        <x:f t="shared" si="4"/>
      </x:c>
      <x:c r="B363" s="2" t="e">
        <x:f>IFERROR(__xludf.DUMMYFUNCTION("IF(A363="""","""",SUMPRODUCT(--(LEFT(TO_TEXT(Eventos!B$2:B$1000),10)=A363),--(Eventos!N$2:N$1000&lt;&gt;0),Eventos!I$2:I$1000))"),"")</x:f>
        <x:v>#NAME?</x:v>
      </x:c>
      <x:c r="C363" s="2" t="e">
        <x:f>IFERROR(__xludf.DUMMYFUNCTION("IF(A363="""","""",SUMPRODUCT(--(LEFT(TO_TEXT(Eventos!B$2:B$1000),10)=A363),--(Eventos!N$2:N$1000&lt;&gt;0),Eventos!M$2:M$1000))"),"")</x:f>
        <x:v>#NAME?</x:v>
      </x:c>
      <x:c r="D363" s="2" t="e">
        <x:f>IFERROR(__xludf.DUMMYFUNCTION("IF(A363="""","""",SUMPRODUCT(--(LEFT(TO_TEXT(Eventos!B$2:B$1000),10)=A363),Eventos!N$2:N$1000))"),"")</x:f>
        <x:v>#NAME?</x:v>
      </x:c>
      <x:c r="E363" s="2" t="str">
        <x:f t="shared" si="2"/>
      </x:c>
      <x:c r="F363" s="2" t="str">
        <x:f t="shared" si="5"/>
      </x:c>
    </x:row>
    <x:row r="364">
      <x:c r="A364" s="2" t="str">
        <x:f t="shared" si="4"/>
      </x:c>
      <x:c r="B364" s="2" t="e">
        <x:f>IFERROR(__xludf.DUMMYFUNCTION("IF(A364="""","""",SUMPRODUCT(--(LEFT(TO_TEXT(Eventos!B$2:B$1000),10)=A364),--(Eventos!N$2:N$1000&lt;&gt;0),Eventos!I$2:I$1000))"),"")</x:f>
        <x:v>#NAME?</x:v>
      </x:c>
      <x:c r="C364" s="2" t="e">
        <x:f>IFERROR(__xludf.DUMMYFUNCTION("IF(A364="""","""",SUMPRODUCT(--(LEFT(TO_TEXT(Eventos!B$2:B$1000),10)=A364),--(Eventos!N$2:N$1000&lt;&gt;0),Eventos!M$2:M$1000))"),"")</x:f>
        <x:v>#NAME?</x:v>
      </x:c>
      <x:c r="D364" s="2" t="e">
        <x:f>IFERROR(__xludf.DUMMYFUNCTION("IF(A364="""","""",SUMPRODUCT(--(LEFT(TO_TEXT(Eventos!B$2:B$1000),10)=A364),Eventos!N$2:N$1000))"),"")</x:f>
        <x:v>#NAME?</x:v>
      </x:c>
      <x:c r="E364" s="2" t="str">
        <x:f t="shared" si="2"/>
      </x:c>
      <x:c r="F364" s="2" t="str">
        <x:f t="shared" si="5"/>
      </x:c>
    </x:row>
    <x:row r="365">
      <x:c r="A365" s="2" t="str">
        <x:f t="shared" si="4"/>
      </x:c>
      <x:c r="B365" s="2" t="e">
        <x:f>IFERROR(__xludf.DUMMYFUNCTION("IF(A365="""","""",SUMPRODUCT(--(LEFT(TO_TEXT(Eventos!B$2:B$1000),10)=A365),--(Eventos!N$2:N$1000&lt;&gt;0),Eventos!I$2:I$1000))"),"")</x:f>
        <x:v>#NAME?</x:v>
      </x:c>
      <x:c r="C365" s="2" t="e">
        <x:f>IFERROR(__xludf.DUMMYFUNCTION("IF(A365="""","""",SUMPRODUCT(--(LEFT(TO_TEXT(Eventos!B$2:B$1000),10)=A365),--(Eventos!N$2:N$1000&lt;&gt;0),Eventos!M$2:M$1000))"),"")</x:f>
        <x:v>#NAME?</x:v>
      </x:c>
      <x:c r="D365" s="2" t="e">
        <x:f>IFERROR(__xludf.DUMMYFUNCTION("IF(A365="""","""",SUMPRODUCT(--(LEFT(TO_TEXT(Eventos!B$2:B$1000),10)=A365),Eventos!N$2:N$1000))"),"")</x:f>
        <x:v>#NAME?</x:v>
      </x:c>
      <x:c r="E365" s="2" t="str">
        <x:f t="shared" si="2"/>
      </x:c>
      <x:c r="F365" s="2" t="str">
        <x:f t="shared" si="5"/>
      </x:c>
    </x:row>
    <x:row r="366">
      <x:c r="A366" s="2" t="str">
        <x:f t="shared" si="4"/>
      </x:c>
      <x:c r="B366" s="2" t="e">
        <x:f>IFERROR(__xludf.DUMMYFUNCTION("IF(A366="""","""",SUMPRODUCT(--(LEFT(TO_TEXT(Eventos!B$2:B$1000),10)=A366),--(Eventos!N$2:N$1000&lt;&gt;0),Eventos!I$2:I$1000))"),"")</x:f>
        <x:v>#NAME?</x:v>
      </x:c>
      <x:c r="C366" s="2" t="e">
        <x:f>IFERROR(__xludf.DUMMYFUNCTION("IF(A366="""","""",SUMPRODUCT(--(LEFT(TO_TEXT(Eventos!B$2:B$1000),10)=A366),--(Eventos!N$2:N$1000&lt;&gt;0),Eventos!M$2:M$1000))"),"")</x:f>
        <x:v>#NAME?</x:v>
      </x:c>
      <x:c r="D366" s="2" t="e">
        <x:f>IFERROR(__xludf.DUMMYFUNCTION("IF(A366="""","""",SUMPRODUCT(--(LEFT(TO_TEXT(Eventos!B$2:B$1000),10)=A366),Eventos!N$2:N$1000))"),"")</x:f>
        <x:v>#NAME?</x:v>
      </x:c>
      <x:c r="E366" s="2" t="str">
        <x:f t="shared" si="2"/>
      </x:c>
      <x:c r="F366" s="2" t="str">
        <x:f t="shared" si="5"/>
      </x:c>
    </x:row>
    <x:row r="367">
      <x:c r="A367" s="2" t="str">
        <x:f t="shared" si="4"/>
      </x:c>
      <x:c r="B367" s="2" t="e">
        <x:f>IFERROR(__xludf.DUMMYFUNCTION("IF(A367="""","""",SUMPRODUCT(--(LEFT(TO_TEXT(Eventos!B$2:B$1000),10)=A367),--(Eventos!N$2:N$1000&lt;&gt;0),Eventos!I$2:I$1000))"),"")</x:f>
        <x:v>#NAME?</x:v>
      </x:c>
      <x:c r="C367" s="2" t="e">
        <x:f>IFERROR(__xludf.DUMMYFUNCTION("IF(A367="""","""",SUMPRODUCT(--(LEFT(TO_TEXT(Eventos!B$2:B$1000),10)=A367),--(Eventos!N$2:N$1000&lt;&gt;0),Eventos!M$2:M$1000))"),"")</x:f>
        <x:v>#NAME?</x:v>
      </x:c>
      <x:c r="D367" s="2" t="e">
        <x:f>IFERROR(__xludf.DUMMYFUNCTION("IF(A367="""","""",SUMPRODUCT(--(LEFT(TO_TEXT(Eventos!B$2:B$1000),10)=A367),Eventos!N$2:N$1000))"),"")</x:f>
        <x:v>#NAME?</x:v>
      </x:c>
      <x:c r="E367" s="2" t="str">
        <x:f t="shared" si="2"/>
      </x:c>
      <x:c r="F367" s="2" t="str">
        <x:f t="shared" si="5"/>
      </x:c>
    </x:row>
    <x:row r="368">
      <x:c r="A368" s="2" t="str">
        <x:f t="shared" si="4"/>
      </x:c>
      <x:c r="B368" s="2" t="e">
        <x:f>IFERROR(__xludf.DUMMYFUNCTION("IF(A368="""","""",SUMPRODUCT(--(LEFT(TO_TEXT(Eventos!B$2:B$1000),10)=A368),--(Eventos!N$2:N$1000&lt;&gt;0),Eventos!I$2:I$1000))"),"")</x:f>
        <x:v>#NAME?</x:v>
      </x:c>
      <x:c r="C368" s="2" t="e">
        <x:f>IFERROR(__xludf.DUMMYFUNCTION("IF(A368="""","""",SUMPRODUCT(--(LEFT(TO_TEXT(Eventos!B$2:B$1000),10)=A368),--(Eventos!N$2:N$1000&lt;&gt;0),Eventos!M$2:M$1000))"),"")</x:f>
        <x:v>#NAME?</x:v>
      </x:c>
      <x:c r="D368" s="2" t="e">
        <x:f>IFERROR(__xludf.DUMMYFUNCTION("IF(A368="""","""",SUMPRODUCT(--(LEFT(TO_TEXT(Eventos!B$2:B$1000),10)=A368),Eventos!N$2:N$1000))"),"")</x:f>
        <x:v>#NAME?</x:v>
      </x:c>
      <x:c r="E368" s="2" t="str">
        <x:f t="shared" si="2"/>
      </x:c>
      <x:c r="F368" s="2" t="str">
        <x:f t="shared" si="5"/>
      </x:c>
    </x:row>
    <x:row r="369">
      <x:c r="A369" s="2" t="str">
        <x:f t="shared" si="4"/>
      </x:c>
      <x:c r="B369" s="2" t="e">
        <x:f>IFERROR(__xludf.DUMMYFUNCTION("IF(A369="""","""",SUMPRODUCT(--(LEFT(TO_TEXT(Eventos!B$2:B$1000),10)=A369),--(Eventos!N$2:N$1000&lt;&gt;0),Eventos!I$2:I$1000))"),"")</x:f>
        <x:v>#NAME?</x:v>
      </x:c>
      <x:c r="C369" s="2" t="e">
        <x:f>IFERROR(__xludf.DUMMYFUNCTION("IF(A369="""","""",SUMPRODUCT(--(LEFT(TO_TEXT(Eventos!B$2:B$1000),10)=A369),--(Eventos!N$2:N$1000&lt;&gt;0),Eventos!M$2:M$1000))"),"")</x:f>
        <x:v>#NAME?</x:v>
      </x:c>
      <x:c r="D369" s="2" t="e">
        <x:f>IFERROR(__xludf.DUMMYFUNCTION("IF(A369="""","""",SUMPRODUCT(--(LEFT(TO_TEXT(Eventos!B$2:B$1000),10)=A369),Eventos!N$2:N$1000))"),"")</x:f>
        <x:v>#NAME?</x:v>
      </x:c>
      <x:c r="E369" s="2" t="str">
        <x:f t="shared" si="2"/>
      </x:c>
      <x:c r="F369" s="2" t="str">
        <x:f t="shared" si="5"/>
      </x:c>
    </x:row>
    <x:row r="370">
      <x:c r="A370" s="2" t="str">
        <x:f t="shared" si="4"/>
      </x:c>
      <x:c r="B370" s="2" t="e">
        <x:f>IFERROR(__xludf.DUMMYFUNCTION("IF(A370="""","""",SUMPRODUCT(--(LEFT(TO_TEXT(Eventos!B$2:B$1000),10)=A370),--(Eventos!N$2:N$1000&lt;&gt;0),Eventos!I$2:I$1000))"),"")</x:f>
        <x:v>#NAME?</x:v>
      </x:c>
      <x:c r="C370" s="2" t="e">
        <x:f>IFERROR(__xludf.DUMMYFUNCTION("IF(A370="""","""",SUMPRODUCT(--(LEFT(TO_TEXT(Eventos!B$2:B$1000),10)=A370),--(Eventos!N$2:N$1000&lt;&gt;0),Eventos!M$2:M$1000))"),"")</x:f>
        <x:v>#NAME?</x:v>
      </x:c>
      <x:c r="D370" s="2" t="e">
        <x:f>IFERROR(__xludf.DUMMYFUNCTION("IF(A370="""","""",SUMPRODUCT(--(LEFT(TO_TEXT(Eventos!B$2:B$1000),10)=A370),Eventos!N$2:N$1000))"),"")</x:f>
        <x:v>#NAME?</x:v>
      </x:c>
      <x:c r="E370" s="2" t="str">
        <x:f t="shared" si="2"/>
      </x:c>
      <x:c r="F370" s="2" t="str">
        <x:f t="shared" si="5"/>
      </x:c>
    </x:row>
    <x:row r="371">
      <x:c r="A371" s="2" t="str">
        <x:f t="shared" si="4"/>
      </x:c>
      <x:c r="B371" s="2" t="e">
        <x:f>IFERROR(__xludf.DUMMYFUNCTION("IF(A371="""","""",SUMPRODUCT(--(LEFT(TO_TEXT(Eventos!B$2:B$1000),10)=A371),--(Eventos!N$2:N$1000&lt;&gt;0),Eventos!I$2:I$1000))"),"")</x:f>
        <x:v>#NAME?</x:v>
      </x:c>
      <x:c r="C371" s="2" t="e">
        <x:f>IFERROR(__xludf.DUMMYFUNCTION("IF(A371="""","""",SUMPRODUCT(--(LEFT(TO_TEXT(Eventos!B$2:B$1000),10)=A371),--(Eventos!N$2:N$1000&lt;&gt;0),Eventos!M$2:M$1000))"),"")</x:f>
        <x:v>#NAME?</x:v>
      </x:c>
      <x:c r="D371" s="2" t="e">
        <x:f>IFERROR(__xludf.DUMMYFUNCTION("IF(A371="""","""",SUMPRODUCT(--(LEFT(TO_TEXT(Eventos!B$2:B$1000),10)=A371),Eventos!N$2:N$1000))"),"")</x:f>
        <x:v>#NAME?</x:v>
      </x:c>
      <x:c r="E371" s="2" t="str">
        <x:f t="shared" si="2"/>
      </x:c>
      <x:c r="F371" s="2" t="str">
        <x:f t="shared" si="5"/>
      </x:c>
    </x:row>
    <x:row r="372">
      <x:c r="A372" s="2" t="str">
        <x:f t="shared" si="4"/>
      </x:c>
      <x:c r="B372" s="2" t="e">
        <x:f>IFERROR(__xludf.DUMMYFUNCTION("IF(A372="""","""",SUMPRODUCT(--(LEFT(TO_TEXT(Eventos!B$2:B$1000),10)=A372),--(Eventos!N$2:N$1000&lt;&gt;0),Eventos!I$2:I$1000))"),"")</x:f>
        <x:v>#NAME?</x:v>
      </x:c>
      <x:c r="C372" s="2" t="e">
        <x:f>IFERROR(__xludf.DUMMYFUNCTION("IF(A372="""","""",SUMPRODUCT(--(LEFT(TO_TEXT(Eventos!B$2:B$1000),10)=A372),--(Eventos!N$2:N$1000&lt;&gt;0),Eventos!M$2:M$1000))"),"")</x:f>
        <x:v>#NAME?</x:v>
      </x:c>
      <x:c r="D372" s="2" t="e">
        <x:f>IFERROR(__xludf.DUMMYFUNCTION("IF(A372="""","""",SUMPRODUCT(--(LEFT(TO_TEXT(Eventos!B$2:B$1000),10)=A372),Eventos!N$2:N$1000))"),"")</x:f>
        <x:v>#NAME?</x:v>
      </x:c>
      <x:c r="E372" s="2" t="str">
        <x:f t="shared" si="2"/>
      </x:c>
      <x:c r="F372" s="2" t="str">
        <x:f t="shared" si="5"/>
      </x:c>
    </x:row>
    <x:row r="373">
      <x:c r="A373" s="2" t="str">
        <x:f t="shared" si="4"/>
      </x:c>
      <x:c r="B373" s="2" t="e">
        <x:f>IFERROR(__xludf.DUMMYFUNCTION("IF(A373="""","""",SUMPRODUCT(--(LEFT(TO_TEXT(Eventos!B$2:B$1000),10)=A373),--(Eventos!N$2:N$1000&lt;&gt;0),Eventos!I$2:I$1000))"),"")</x:f>
        <x:v>#NAME?</x:v>
      </x:c>
      <x:c r="C373" s="2" t="e">
        <x:f>IFERROR(__xludf.DUMMYFUNCTION("IF(A373="""","""",SUMPRODUCT(--(LEFT(TO_TEXT(Eventos!B$2:B$1000),10)=A373),--(Eventos!N$2:N$1000&lt;&gt;0),Eventos!M$2:M$1000))"),"")</x:f>
        <x:v>#NAME?</x:v>
      </x:c>
      <x:c r="D373" s="2" t="e">
        <x:f>IFERROR(__xludf.DUMMYFUNCTION("IF(A373="""","""",SUMPRODUCT(--(LEFT(TO_TEXT(Eventos!B$2:B$1000),10)=A373),Eventos!N$2:N$1000))"),"")</x:f>
        <x:v>#NAME?</x:v>
      </x:c>
      <x:c r="E373" s="2" t="str">
        <x:f t="shared" si="2"/>
      </x:c>
      <x:c r="F373" s="2" t="str">
        <x:f t="shared" si="5"/>
      </x:c>
    </x:row>
    <x:row r="374">
      <x:c r="A374" s="2" t="str">
        <x:f t="shared" si="4"/>
      </x:c>
      <x:c r="B374" s="2" t="e">
        <x:f>IFERROR(__xludf.DUMMYFUNCTION("IF(A374="""","""",SUMPRODUCT(--(LEFT(TO_TEXT(Eventos!B$2:B$1000),10)=A374),--(Eventos!N$2:N$1000&lt;&gt;0),Eventos!I$2:I$1000))"),"")</x:f>
        <x:v>#NAME?</x:v>
      </x:c>
      <x:c r="C374" s="2" t="e">
        <x:f>IFERROR(__xludf.DUMMYFUNCTION("IF(A374="""","""",SUMPRODUCT(--(LEFT(TO_TEXT(Eventos!B$2:B$1000),10)=A374),--(Eventos!N$2:N$1000&lt;&gt;0),Eventos!M$2:M$1000))"),"")</x:f>
        <x:v>#NAME?</x:v>
      </x:c>
      <x:c r="D374" s="2" t="e">
        <x:f>IFERROR(__xludf.DUMMYFUNCTION("IF(A374="""","""",SUMPRODUCT(--(LEFT(TO_TEXT(Eventos!B$2:B$1000),10)=A374),Eventos!N$2:N$1000))"),"")</x:f>
        <x:v>#NAME?</x:v>
      </x:c>
      <x:c r="E374" s="2" t="str">
        <x:f t="shared" si="2"/>
      </x:c>
      <x:c r="F374" s="2" t="str">
        <x:f t="shared" si="5"/>
      </x:c>
    </x:row>
    <x:row r="375">
      <x:c r="A375" s="2" t="str">
        <x:f t="shared" si="4"/>
      </x:c>
      <x:c r="B375" s="2" t="e">
        <x:f>IFERROR(__xludf.DUMMYFUNCTION("IF(A375="""","""",SUMPRODUCT(--(LEFT(TO_TEXT(Eventos!B$2:B$1000),10)=A375),--(Eventos!N$2:N$1000&lt;&gt;0),Eventos!I$2:I$1000))"),"")</x:f>
        <x:v>#NAME?</x:v>
      </x:c>
      <x:c r="C375" s="2" t="e">
        <x:f>IFERROR(__xludf.DUMMYFUNCTION("IF(A375="""","""",SUMPRODUCT(--(LEFT(TO_TEXT(Eventos!B$2:B$1000),10)=A375),--(Eventos!N$2:N$1000&lt;&gt;0),Eventos!M$2:M$1000))"),"")</x:f>
        <x:v>#NAME?</x:v>
      </x:c>
      <x:c r="D375" s="2" t="e">
        <x:f>IFERROR(__xludf.DUMMYFUNCTION("IF(A375="""","""",SUMPRODUCT(--(LEFT(TO_TEXT(Eventos!B$2:B$1000),10)=A375),Eventos!N$2:N$1000))"),"")</x:f>
        <x:v>#NAME?</x:v>
      </x:c>
      <x:c r="E375" s="2" t="str">
        <x:f t="shared" si="2"/>
      </x:c>
      <x:c r="F375" s="2" t="str">
        <x:f t="shared" si="5"/>
      </x:c>
    </x:row>
    <x:row r="376">
      <x:c r="A376" s="2" t="str">
        <x:f t="shared" si="4"/>
      </x:c>
      <x:c r="B376" s="2" t="e">
        <x:f>IFERROR(__xludf.DUMMYFUNCTION("IF(A376="""","""",SUMPRODUCT(--(LEFT(TO_TEXT(Eventos!B$2:B$1000),10)=A376),--(Eventos!N$2:N$1000&lt;&gt;0),Eventos!I$2:I$1000))"),"")</x:f>
        <x:v>#NAME?</x:v>
      </x:c>
      <x:c r="C376" s="2" t="e">
        <x:f>IFERROR(__xludf.DUMMYFUNCTION("IF(A376="""","""",SUMPRODUCT(--(LEFT(TO_TEXT(Eventos!B$2:B$1000),10)=A376),--(Eventos!N$2:N$1000&lt;&gt;0),Eventos!M$2:M$1000))"),"")</x:f>
        <x:v>#NAME?</x:v>
      </x:c>
      <x:c r="D376" s="2" t="e">
        <x:f>IFERROR(__xludf.DUMMYFUNCTION("IF(A376="""","""",SUMPRODUCT(--(LEFT(TO_TEXT(Eventos!B$2:B$1000),10)=A376),Eventos!N$2:N$1000))"),"")</x:f>
        <x:v>#NAME?</x:v>
      </x:c>
      <x:c r="E376" s="2" t="str">
        <x:f t="shared" si="2"/>
      </x:c>
      <x:c r="F376" s="2" t="str">
        <x:f t="shared" si="5"/>
      </x:c>
    </x:row>
    <x:row r="377">
      <x:c r="A377" s="2" t="str">
        <x:f t="shared" si="4"/>
      </x:c>
      <x:c r="B377" s="2" t="e">
        <x:f>IFERROR(__xludf.DUMMYFUNCTION("IF(A377="""","""",SUMPRODUCT(--(LEFT(TO_TEXT(Eventos!B$2:B$1000),10)=A377),--(Eventos!N$2:N$1000&lt;&gt;0),Eventos!I$2:I$1000))"),"")</x:f>
        <x:v>#NAME?</x:v>
      </x:c>
      <x:c r="C377" s="2" t="e">
        <x:f>IFERROR(__xludf.DUMMYFUNCTION("IF(A377="""","""",SUMPRODUCT(--(LEFT(TO_TEXT(Eventos!B$2:B$1000),10)=A377),--(Eventos!N$2:N$1000&lt;&gt;0),Eventos!M$2:M$1000))"),"")</x:f>
        <x:v>#NAME?</x:v>
      </x:c>
      <x:c r="D377" s="2" t="e">
        <x:f>IFERROR(__xludf.DUMMYFUNCTION("IF(A377="""","""",SUMPRODUCT(--(LEFT(TO_TEXT(Eventos!B$2:B$1000),10)=A377),Eventos!N$2:N$1000))"),"")</x:f>
        <x:v>#NAME?</x:v>
      </x:c>
      <x:c r="E377" s="2" t="str">
        <x:f t="shared" si="2"/>
      </x:c>
      <x:c r="F377" s="2" t="str">
        <x:f t="shared" si="5"/>
      </x:c>
    </x:row>
    <x:row r="378">
      <x:c r="A378" s="2" t="str">
        <x:f t="shared" si="4"/>
      </x:c>
      <x:c r="B378" s="2" t="e">
        <x:f>IFERROR(__xludf.DUMMYFUNCTION("IF(A378="""","""",SUMPRODUCT(--(LEFT(TO_TEXT(Eventos!B$2:B$1000),10)=A378),--(Eventos!N$2:N$1000&lt;&gt;0),Eventos!I$2:I$1000))"),"")</x:f>
        <x:v>#NAME?</x:v>
      </x:c>
      <x:c r="C378" s="2" t="e">
        <x:f>IFERROR(__xludf.DUMMYFUNCTION("IF(A378="""","""",SUMPRODUCT(--(LEFT(TO_TEXT(Eventos!B$2:B$1000),10)=A378),--(Eventos!N$2:N$1000&lt;&gt;0),Eventos!M$2:M$1000))"),"")</x:f>
        <x:v>#NAME?</x:v>
      </x:c>
      <x:c r="D378" s="2" t="e">
        <x:f>IFERROR(__xludf.DUMMYFUNCTION("IF(A378="""","""",SUMPRODUCT(--(LEFT(TO_TEXT(Eventos!B$2:B$1000),10)=A378),Eventos!N$2:N$1000))"),"")</x:f>
        <x:v>#NAME?</x:v>
      </x:c>
      <x:c r="E378" s="2" t="str">
        <x:f t="shared" si="2"/>
      </x:c>
      <x:c r="F378" s="2" t="str">
        <x:f t="shared" si="5"/>
      </x:c>
    </x:row>
    <x:row r="379">
      <x:c r="A379" s="2" t="str">
        <x:f t="shared" si="4"/>
      </x:c>
      <x:c r="B379" s="2" t="e">
        <x:f>IFERROR(__xludf.DUMMYFUNCTION("IF(A379="""","""",SUMPRODUCT(--(LEFT(TO_TEXT(Eventos!B$2:B$1000),10)=A379),--(Eventos!N$2:N$1000&lt;&gt;0),Eventos!I$2:I$1000))"),"")</x:f>
        <x:v>#NAME?</x:v>
      </x:c>
      <x:c r="C379" s="2" t="e">
        <x:f>IFERROR(__xludf.DUMMYFUNCTION("IF(A379="""","""",SUMPRODUCT(--(LEFT(TO_TEXT(Eventos!B$2:B$1000),10)=A379),--(Eventos!N$2:N$1000&lt;&gt;0),Eventos!M$2:M$1000))"),"")</x:f>
        <x:v>#NAME?</x:v>
      </x:c>
      <x:c r="D379" s="2" t="e">
        <x:f>IFERROR(__xludf.DUMMYFUNCTION("IF(A379="""","""",SUMPRODUCT(--(LEFT(TO_TEXT(Eventos!B$2:B$1000),10)=A379),Eventos!N$2:N$1000))"),"")</x:f>
        <x:v>#NAME?</x:v>
      </x:c>
      <x:c r="E379" s="2" t="str">
        <x:f t="shared" si="2"/>
      </x:c>
      <x:c r="F379" s="2" t="str">
        <x:f t="shared" si="5"/>
      </x:c>
    </x:row>
    <x:row r="380">
      <x:c r="A380" s="2" t="str">
        <x:f t="shared" si="4"/>
      </x:c>
      <x:c r="B380" s="2" t="e">
        <x:f>IFERROR(__xludf.DUMMYFUNCTION("IF(A380="""","""",SUMPRODUCT(--(LEFT(TO_TEXT(Eventos!B$2:B$1000),10)=A380),--(Eventos!N$2:N$1000&lt;&gt;0),Eventos!I$2:I$1000))"),"")</x:f>
        <x:v>#NAME?</x:v>
      </x:c>
      <x:c r="C380" s="2" t="e">
        <x:f>IFERROR(__xludf.DUMMYFUNCTION("IF(A380="""","""",SUMPRODUCT(--(LEFT(TO_TEXT(Eventos!B$2:B$1000),10)=A380),--(Eventos!N$2:N$1000&lt;&gt;0),Eventos!M$2:M$1000))"),"")</x:f>
        <x:v>#NAME?</x:v>
      </x:c>
      <x:c r="D380" s="2" t="e">
        <x:f>IFERROR(__xludf.DUMMYFUNCTION("IF(A380="""","""",SUMPRODUCT(--(LEFT(TO_TEXT(Eventos!B$2:B$1000),10)=A380),Eventos!N$2:N$1000))"),"")</x:f>
        <x:v>#NAME?</x:v>
      </x:c>
      <x:c r="E380" s="2" t="str">
        <x:f t="shared" si="2"/>
      </x:c>
      <x:c r="F380" s="2" t="str">
        <x:f t="shared" si="5"/>
      </x:c>
    </x:row>
    <x:row r="381">
      <x:c r="A381" s="2" t="str">
        <x:f t="shared" si="4"/>
      </x:c>
      <x:c r="B381" s="2" t="e">
        <x:f>IFERROR(__xludf.DUMMYFUNCTION("IF(A381="""","""",SUMPRODUCT(--(LEFT(TO_TEXT(Eventos!B$2:B$1000),10)=A381),--(Eventos!N$2:N$1000&lt;&gt;0),Eventos!I$2:I$1000))"),"")</x:f>
        <x:v>#NAME?</x:v>
      </x:c>
      <x:c r="C381" s="2" t="e">
        <x:f>IFERROR(__xludf.DUMMYFUNCTION("IF(A381="""","""",SUMPRODUCT(--(LEFT(TO_TEXT(Eventos!B$2:B$1000),10)=A381),--(Eventos!N$2:N$1000&lt;&gt;0),Eventos!M$2:M$1000))"),"")</x:f>
        <x:v>#NAME?</x:v>
      </x:c>
      <x:c r="D381" s="2" t="e">
        <x:f>IFERROR(__xludf.DUMMYFUNCTION("IF(A381="""","""",SUMPRODUCT(--(LEFT(TO_TEXT(Eventos!B$2:B$1000),10)=A381),Eventos!N$2:N$1000))"),"")</x:f>
        <x:v>#NAME?</x:v>
      </x:c>
      <x:c r="E381" s="2" t="str">
        <x:f t="shared" si="2"/>
      </x:c>
      <x:c r="F381" s="2" t="str">
        <x:f t="shared" si="5"/>
      </x:c>
    </x:row>
    <x:row r="382">
      <x:c r="A382" s="2" t="str">
        <x:f t="shared" si="4"/>
      </x:c>
      <x:c r="B382" s="2" t="e">
        <x:f>IFERROR(__xludf.DUMMYFUNCTION("IF(A382="""","""",SUMPRODUCT(--(LEFT(TO_TEXT(Eventos!B$2:B$1000),10)=A382),--(Eventos!N$2:N$1000&lt;&gt;0),Eventos!I$2:I$1000))"),"")</x:f>
        <x:v>#NAME?</x:v>
      </x:c>
      <x:c r="C382" s="2" t="e">
        <x:f>IFERROR(__xludf.DUMMYFUNCTION("IF(A382="""","""",SUMPRODUCT(--(LEFT(TO_TEXT(Eventos!B$2:B$1000),10)=A382),--(Eventos!N$2:N$1000&lt;&gt;0),Eventos!M$2:M$1000))"),"")</x:f>
        <x:v>#NAME?</x:v>
      </x:c>
      <x:c r="D382" s="2" t="e">
        <x:f>IFERROR(__xludf.DUMMYFUNCTION("IF(A382="""","""",SUMPRODUCT(--(LEFT(TO_TEXT(Eventos!B$2:B$1000),10)=A382),Eventos!N$2:N$1000))"),"")</x:f>
        <x:v>#NAME?</x:v>
      </x:c>
      <x:c r="E382" s="2" t="str">
        <x:f t="shared" si="2"/>
      </x:c>
      <x:c r="F382" s="2" t="str">
        <x:f t="shared" si="5"/>
      </x:c>
    </x:row>
    <x:row r="383">
      <x:c r="A383" s="2" t="str">
        <x:f t="shared" si="4"/>
      </x:c>
      <x:c r="B383" s="2" t="e">
        <x:f>IFERROR(__xludf.DUMMYFUNCTION("IF(A383="""","""",SUMPRODUCT(--(LEFT(TO_TEXT(Eventos!B$2:B$1000),10)=A383),--(Eventos!N$2:N$1000&lt;&gt;0),Eventos!I$2:I$1000))"),"")</x:f>
        <x:v>#NAME?</x:v>
      </x:c>
      <x:c r="C383" s="2" t="e">
        <x:f>IFERROR(__xludf.DUMMYFUNCTION("IF(A383="""","""",SUMPRODUCT(--(LEFT(TO_TEXT(Eventos!B$2:B$1000),10)=A383),--(Eventos!N$2:N$1000&lt;&gt;0),Eventos!M$2:M$1000))"),"")</x:f>
        <x:v>#NAME?</x:v>
      </x:c>
      <x:c r="D383" s="2" t="e">
        <x:f>IFERROR(__xludf.DUMMYFUNCTION("IF(A383="""","""",SUMPRODUCT(--(LEFT(TO_TEXT(Eventos!B$2:B$1000),10)=A383),Eventos!N$2:N$1000))"),"")</x:f>
        <x:v>#NAME?</x:v>
      </x:c>
      <x:c r="E383" s="2" t="str">
        <x:f t="shared" si="2"/>
      </x:c>
      <x:c r="F383" s="2" t="str">
        <x:f t="shared" si="5"/>
      </x:c>
    </x:row>
    <x:row r="384">
      <x:c r="A384" s="2" t="str">
        <x:f t="shared" si="4"/>
      </x:c>
      <x:c r="B384" s="2" t="e">
        <x:f>IFERROR(__xludf.DUMMYFUNCTION("IF(A384="""","""",SUMPRODUCT(--(LEFT(TO_TEXT(Eventos!B$2:B$1000),10)=A384),--(Eventos!N$2:N$1000&lt;&gt;0),Eventos!I$2:I$1000))"),"")</x:f>
        <x:v>#NAME?</x:v>
      </x:c>
      <x:c r="C384" s="2" t="e">
        <x:f>IFERROR(__xludf.DUMMYFUNCTION("IF(A384="""","""",SUMPRODUCT(--(LEFT(TO_TEXT(Eventos!B$2:B$1000),10)=A384),--(Eventos!N$2:N$1000&lt;&gt;0),Eventos!M$2:M$1000))"),"")</x:f>
        <x:v>#NAME?</x:v>
      </x:c>
      <x:c r="D384" s="2" t="e">
        <x:f>IFERROR(__xludf.DUMMYFUNCTION("IF(A384="""","""",SUMPRODUCT(--(LEFT(TO_TEXT(Eventos!B$2:B$1000),10)=A384),Eventos!N$2:N$1000))"),"")</x:f>
        <x:v>#NAME?</x:v>
      </x:c>
      <x:c r="E384" s="2" t="str">
        <x:f t="shared" si="2"/>
      </x:c>
      <x:c r="F384" s="2" t="str">
        <x:f t="shared" si="5"/>
      </x:c>
    </x:row>
    <x:row r="385">
      <x:c r="A385" s="2" t="str">
        <x:f t="shared" si="4"/>
      </x:c>
      <x:c r="B385" s="2" t="e">
        <x:f>IFERROR(__xludf.DUMMYFUNCTION("IF(A385="""","""",SUMPRODUCT(--(LEFT(TO_TEXT(Eventos!B$2:B$1000),10)=A385),--(Eventos!N$2:N$1000&lt;&gt;0),Eventos!I$2:I$1000))"),"")</x:f>
        <x:v>#NAME?</x:v>
      </x:c>
      <x:c r="C385" s="2" t="e">
        <x:f>IFERROR(__xludf.DUMMYFUNCTION("IF(A385="""","""",SUMPRODUCT(--(LEFT(TO_TEXT(Eventos!B$2:B$1000),10)=A385),--(Eventos!N$2:N$1000&lt;&gt;0),Eventos!M$2:M$1000))"),"")</x:f>
        <x:v>#NAME?</x:v>
      </x:c>
      <x:c r="D385" s="2" t="e">
        <x:f>IFERROR(__xludf.DUMMYFUNCTION("IF(A385="""","""",SUMPRODUCT(--(LEFT(TO_TEXT(Eventos!B$2:B$1000),10)=A385),Eventos!N$2:N$1000))"),"")</x:f>
        <x:v>#NAME?</x:v>
      </x:c>
      <x:c r="E385" s="2" t="str">
        <x:f t="shared" si="2"/>
      </x:c>
      <x:c r="F385" s="2" t="str">
        <x:f t="shared" si="5"/>
      </x:c>
    </x:row>
    <x:row r="386">
      <x:c r="A386" s="2" t="str">
        <x:f t="shared" si="4"/>
      </x:c>
      <x:c r="B386" s="2" t="e">
        <x:f>IFERROR(__xludf.DUMMYFUNCTION("IF(A386="""","""",SUMPRODUCT(--(LEFT(TO_TEXT(Eventos!B$2:B$1000),10)=A386),--(Eventos!N$2:N$1000&lt;&gt;0),Eventos!I$2:I$1000))"),"")</x:f>
        <x:v>#NAME?</x:v>
      </x:c>
      <x:c r="C386" s="2" t="e">
        <x:f>IFERROR(__xludf.DUMMYFUNCTION("IF(A386="""","""",SUMPRODUCT(--(LEFT(TO_TEXT(Eventos!B$2:B$1000),10)=A386),--(Eventos!N$2:N$1000&lt;&gt;0),Eventos!M$2:M$1000))"),"")</x:f>
        <x:v>#NAME?</x:v>
      </x:c>
      <x:c r="D386" s="2" t="e">
        <x:f>IFERROR(__xludf.DUMMYFUNCTION("IF(A386="""","""",SUMPRODUCT(--(LEFT(TO_TEXT(Eventos!B$2:B$1000),10)=A386),Eventos!N$2:N$1000))"),"")</x:f>
        <x:v>#NAME?</x:v>
      </x:c>
      <x:c r="E386" s="2" t="str">
        <x:f t="shared" si="2"/>
      </x:c>
      <x:c r="F386" s="2" t="str">
        <x:f t="shared" si="5"/>
      </x:c>
    </x:row>
    <x:row r="387">
      <x:c r="A387" s="2" t="str">
        <x:f t="shared" si="4"/>
      </x:c>
      <x:c r="B387" s="2" t="e">
        <x:f>IFERROR(__xludf.DUMMYFUNCTION("IF(A387="""","""",SUMPRODUCT(--(LEFT(TO_TEXT(Eventos!B$2:B$1000),10)=A387),--(Eventos!N$2:N$1000&lt;&gt;0),Eventos!I$2:I$1000))"),"")</x:f>
        <x:v>#NAME?</x:v>
      </x:c>
      <x:c r="C387" s="2" t="e">
        <x:f>IFERROR(__xludf.DUMMYFUNCTION("IF(A387="""","""",SUMPRODUCT(--(LEFT(TO_TEXT(Eventos!B$2:B$1000),10)=A387),--(Eventos!N$2:N$1000&lt;&gt;0),Eventos!M$2:M$1000))"),"")</x:f>
        <x:v>#NAME?</x:v>
      </x:c>
      <x:c r="D387" s="2" t="e">
        <x:f>IFERROR(__xludf.DUMMYFUNCTION("IF(A387="""","""",SUMPRODUCT(--(LEFT(TO_TEXT(Eventos!B$2:B$1000),10)=A387),Eventos!N$2:N$1000))"),"")</x:f>
        <x:v>#NAME?</x:v>
      </x:c>
      <x:c r="E387" s="2" t="str">
        <x:f t="shared" si="2"/>
      </x:c>
      <x:c r="F387" s="2" t="str">
        <x:f t="shared" si="5"/>
      </x:c>
    </x:row>
    <x:row r="388">
      <x:c r="A388" s="2" t="str">
        <x:f t="shared" si="4"/>
      </x:c>
      <x:c r="B388" s="2" t="e">
        <x:f>IFERROR(__xludf.DUMMYFUNCTION("IF(A388="""","""",SUMPRODUCT(--(LEFT(TO_TEXT(Eventos!B$2:B$1000),10)=A388),--(Eventos!N$2:N$1000&lt;&gt;0),Eventos!I$2:I$1000))"),"")</x:f>
        <x:v>#NAME?</x:v>
      </x:c>
      <x:c r="C388" s="2" t="e">
        <x:f>IFERROR(__xludf.DUMMYFUNCTION("IF(A388="""","""",SUMPRODUCT(--(LEFT(TO_TEXT(Eventos!B$2:B$1000),10)=A388),--(Eventos!N$2:N$1000&lt;&gt;0),Eventos!M$2:M$1000))"),"")</x:f>
        <x:v>#NAME?</x:v>
      </x:c>
      <x:c r="D388" s="2" t="e">
        <x:f>IFERROR(__xludf.DUMMYFUNCTION("IF(A388="""","""",SUMPRODUCT(--(LEFT(TO_TEXT(Eventos!B$2:B$1000),10)=A388),Eventos!N$2:N$1000))"),"")</x:f>
        <x:v>#NAME?</x:v>
      </x:c>
      <x:c r="E388" s="2" t="str">
        <x:f t="shared" si="2"/>
      </x:c>
      <x:c r="F388" s="2" t="str">
        <x:f t="shared" si="5"/>
      </x:c>
    </x:row>
    <x:row r="389">
      <x:c r="A389" s="2" t="str">
        <x:f t="shared" si="4"/>
      </x:c>
      <x:c r="B389" s="2" t="e">
        <x:f>IFERROR(__xludf.DUMMYFUNCTION("IF(A389="""","""",SUMPRODUCT(--(LEFT(TO_TEXT(Eventos!B$2:B$1000),10)=A389),--(Eventos!N$2:N$1000&lt;&gt;0),Eventos!I$2:I$1000))"),"")</x:f>
        <x:v>#NAME?</x:v>
      </x:c>
      <x:c r="C389" s="2" t="e">
        <x:f>IFERROR(__xludf.DUMMYFUNCTION("IF(A389="""","""",SUMPRODUCT(--(LEFT(TO_TEXT(Eventos!B$2:B$1000),10)=A389),--(Eventos!N$2:N$1000&lt;&gt;0),Eventos!M$2:M$1000))"),"")</x:f>
        <x:v>#NAME?</x:v>
      </x:c>
      <x:c r="D389" s="2" t="e">
        <x:f>IFERROR(__xludf.DUMMYFUNCTION("IF(A389="""","""",SUMPRODUCT(--(LEFT(TO_TEXT(Eventos!B$2:B$1000),10)=A389),Eventos!N$2:N$1000))"),"")</x:f>
        <x:v>#NAME?</x:v>
      </x:c>
      <x:c r="E389" s="2" t="str">
        <x:f t="shared" si="2"/>
      </x:c>
      <x:c r="F389" s="2" t="str">
        <x:f t="shared" si="5"/>
      </x:c>
    </x:row>
    <x:row r="390">
      <x:c r="A390" s="2" t="str">
        <x:f t="shared" si="4"/>
      </x:c>
      <x:c r="B390" s="2" t="e">
        <x:f>IFERROR(__xludf.DUMMYFUNCTION("IF(A390="""","""",SUMPRODUCT(--(LEFT(TO_TEXT(Eventos!B$2:B$1000),10)=A390),--(Eventos!N$2:N$1000&lt;&gt;0),Eventos!I$2:I$1000))"),"")</x:f>
        <x:v>#NAME?</x:v>
      </x:c>
      <x:c r="C390" s="2" t="e">
        <x:f>IFERROR(__xludf.DUMMYFUNCTION("IF(A390="""","""",SUMPRODUCT(--(LEFT(TO_TEXT(Eventos!B$2:B$1000),10)=A390),--(Eventos!N$2:N$1000&lt;&gt;0),Eventos!M$2:M$1000))"),"")</x:f>
        <x:v>#NAME?</x:v>
      </x:c>
      <x:c r="D390" s="2" t="e">
        <x:f>IFERROR(__xludf.DUMMYFUNCTION("IF(A390="""","""",SUMPRODUCT(--(LEFT(TO_TEXT(Eventos!B$2:B$1000),10)=A390),Eventos!N$2:N$1000))"),"")</x:f>
        <x:v>#NAME?</x:v>
      </x:c>
      <x:c r="E390" s="2" t="str">
        <x:f t="shared" si="2"/>
      </x:c>
      <x:c r="F390" s="2" t="str">
        <x:f t="shared" si="5"/>
      </x:c>
    </x:row>
    <x:row r="391">
      <x:c r="A391" s="2" t="str">
        <x:f t="shared" si="4"/>
      </x:c>
      <x:c r="B391" s="2" t="e">
        <x:f>IFERROR(__xludf.DUMMYFUNCTION("IF(A391="""","""",SUMPRODUCT(--(LEFT(TO_TEXT(Eventos!B$2:B$1000),10)=A391),--(Eventos!N$2:N$1000&lt;&gt;0),Eventos!I$2:I$1000))"),"")</x:f>
        <x:v>#NAME?</x:v>
      </x:c>
      <x:c r="C391" s="2" t="e">
        <x:f>IFERROR(__xludf.DUMMYFUNCTION("IF(A391="""","""",SUMPRODUCT(--(LEFT(TO_TEXT(Eventos!B$2:B$1000),10)=A391),--(Eventos!N$2:N$1000&lt;&gt;0),Eventos!M$2:M$1000))"),"")</x:f>
        <x:v>#NAME?</x:v>
      </x:c>
      <x:c r="D391" s="2" t="e">
        <x:f>IFERROR(__xludf.DUMMYFUNCTION("IF(A391="""","""",SUMPRODUCT(--(LEFT(TO_TEXT(Eventos!B$2:B$1000),10)=A391),Eventos!N$2:N$1000))"),"")</x:f>
        <x:v>#NAME?</x:v>
      </x:c>
      <x:c r="E391" s="2" t="str">
        <x:f t="shared" si="2"/>
      </x:c>
      <x:c r="F391" s="2" t="str">
        <x:f t="shared" si="5"/>
      </x:c>
    </x:row>
    <x:row r="392">
      <x:c r="A392" s="2" t="str">
        <x:f t="shared" si="4"/>
      </x:c>
      <x:c r="B392" s="2" t="e">
        <x:f>IFERROR(__xludf.DUMMYFUNCTION("IF(A392="""","""",SUMPRODUCT(--(LEFT(TO_TEXT(Eventos!B$2:B$1000),10)=A392),--(Eventos!N$2:N$1000&lt;&gt;0),Eventos!I$2:I$1000))"),"")</x:f>
        <x:v>#NAME?</x:v>
      </x:c>
      <x:c r="C392" s="2" t="e">
        <x:f>IFERROR(__xludf.DUMMYFUNCTION("IF(A392="""","""",SUMPRODUCT(--(LEFT(TO_TEXT(Eventos!B$2:B$1000),10)=A392),--(Eventos!N$2:N$1000&lt;&gt;0),Eventos!M$2:M$1000))"),"")</x:f>
        <x:v>#NAME?</x:v>
      </x:c>
      <x:c r="D392" s="2" t="e">
        <x:f>IFERROR(__xludf.DUMMYFUNCTION("IF(A392="""","""",SUMPRODUCT(--(LEFT(TO_TEXT(Eventos!B$2:B$1000),10)=A392),Eventos!N$2:N$1000))"),"")</x:f>
        <x:v>#NAME?</x:v>
      </x:c>
      <x:c r="E392" s="2" t="str">
        <x:f t="shared" si="2"/>
      </x:c>
      <x:c r="F392" s="2" t="str">
        <x:f t="shared" si="5"/>
      </x:c>
    </x:row>
    <x:row r="393">
      <x:c r="A393" s="2" t="str">
        <x:f t="shared" si="4"/>
      </x:c>
      <x:c r="B393" s="2" t="e">
        <x:f>IFERROR(__xludf.DUMMYFUNCTION("IF(A393="""","""",SUMPRODUCT(--(LEFT(TO_TEXT(Eventos!B$2:B$1000),10)=A393),--(Eventos!N$2:N$1000&lt;&gt;0),Eventos!I$2:I$1000))"),"")</x:f>
        <x:v>#NAME?</x:v>
      </x:c>
      <x:c r="C393" s="2" t="e">
        <x:f>IFERROR(__xludf.DUMMYFUNCTION("IF(A393="""","""",SUMPRODUCT(--(LEFT(TO_TEXT(Eventos!B$2:B$1000),10)=A393),--(Eventos!N$2:N$1000&lt;&gt;0),Eventos!M$2:M$1000))"),"")</x:f>
        <x:v>#NAME?</x:v>
      </x:c>
      <x:c r="D393" s="2" t="e">
        <x:f>IFERROR(__xludf.DUMMYFUNCTION("IF(A393="""","""",SUMPRODUCT(--(LEFT(TO_TEXT(Eventos!B$2:B$1000),10)=A393),Eventos!N$2:N$1000))"),"")</x:f>
        <x:v>#NAME?</x:v>
      </x:c>
      <x:c r="E393" s="2" t="str">
        <x:f t="shared" si="2"/>
      </x:c>
      <x:c r="F393" s="2" t="str">
        <x:f t="shared" si="5"/>
      </x:c>
    </x:row>
    <x:row r="394">
      <x:c r="A394" s="2" t="str">
        <x:f t="shared" si="4"/>
      </x:c>
      <x:c r="B394" s="2" t="e">
        <x:f>IFERROR(__xludf.DUMMYFUNCTION("IF(A394="""","""",SUMPRODUCT(--(LEFT(TO_TEXT(Eventos!B$2:B$1000),10)=A394),--(Eventos!N$2:N$1000&lt;&gt;0),Eventos!I$2:I$1000))"),"")</x:f>
        <x:v>#NAME?</x:v>
      </x:c>
      <x:c r="C394" s="2" t="e">
        <x:f>IFERROR(__xludf.DUMMYFUNCTION("IF(A394="""","""",SUMPRODUCT(--(LEFT(TO_TEXT(Eventos!B$2:B$1000),10)=A394),--(Eventos!N$2:N$1000&lt;&gt;0),Eventos!M$2:M$1000))"),"")</x:f>
        <x:v>#NAME?</x:v>
      </x:c>
      <x:c r="D394" s="2" t="e">
        <x:f>IFERROR(__xludf.DUMMYFUNCTION("IF(A394="""","""",SUMPRODUCT(--(LEFT(TO_TEXT(Eventos!B$2:B$1000),10)=A394),Eventos!N$2:N$1000))"),"")</x:f>
        <x:v>#NAME?</x:v>
      </x:c>
      <x:c r="E394" s="2" t="str">
        <x:f t="shared" si="2"/>
      </x:c>
      <x:c r="F394" s="2" t="str">
        <x:f t="shared" si="5"/>
      </x:c>
    </x:row>
    <x:row r="395">
      <x:c r="A395" s="2" t="str">
        <x:f t="shared" si="4"/>
      </x:c>
      <x:c r="B395" s="2" t="e">
        <x:f>IFERROR(__xludf.DUMMYFUNCTION("IF(A395="""","""",SUMPRODUCT(--(LEFT(TO_TEXT(Eventos!B$2:B$1000),10)=A395),--(Eventos!N$2:N$1000&lt;&gt;0),Eventos!I$2:I$1000))"),"")</x:f>
        <x:v>#NAME?</x:v>
      </x:c>
      <x:c r="C395" s="2" t="e">
        <x:f>IFERROR(__xludf.DUMMYFUNCTION("IF(A395="""","""",SUMPRODUCT(--(LEFT(TO_TEXT(Eventos!B$2:B$1000),10)=A395),--(Eventos!N$2:N$1000&lt;&gt;0),Eventos!M$2:M$1000))"),"")</x:f>
        <x:v>#NAME?</x:v>
      </x:c>
      <x:c r="D395" s="2" t="e">
        <x:f>IFERROR(__xludf.DUMMYFUNCTION("IF(A395="""","""",SUMPRODUCT(--(LEFT(TO_TEXT(Eventos!B$2:B$1000),10)=A395),Eventos!N$2:N$1000))"),"")</x:f>
        <x:v>#NAME?</x:v>
      </x:c>
      <x:c r="E395" s="2" t="str">
        <x:f t="shared" si="2"/>
      </x:c>
      <x:c r="F395" s="2" t="str">
        <x:f t="shared" si="5"/>
      </x:c>
    </x:row>
    <x:row r="396">
      <x:c r="A396" s="2" t="str">
        <x:f t="shared" si="4"/>
      </x:c>
      <x:c r="B396" s="2" t="e">
        <x:f>IFERROR(__xludf.DUMMYFUNCTION("IF(A396="""","""",SUMPRODUCT(--(LEFT(TO_TEXT(Eventos!B$2:B$1000),10)=A396),--(Eventos!N$2:N$1000&lt;&gt;0),Eventos!I$2:I$1000))"),"")</x:f>
        <x:v>#NAME?</x:v>
      </x:c>
      <x:c r="C396" s="2" t="e">
        <x:f>IFERROR(__xludf.DUMMYFUNCTION("IF(A396="""","""",SUMPRODUCT(--(LEFT(TO_TEXT(Eventos!B$2:B$1000),10)=A396),--(Eventos!N$2:N$1000&lt;&gt;0),Eventos!M$2:M$1000))"),"")</x:f>
        <x:v>#NAME?</x:v>
      </x:c>
      <x:c r="D396" s="2" t="e">
        <x:f>IFERROR(__xludf.DUMMYFUNCTION("IF(A396="""","""",SUMPRODUCT(--(LEFT(TO_TEXT(Eventos!B$2:B$1000),10)=A396),Eventos!N$2:N$1000))"),"")</x:f>
        <x:v>#NAME?</x:v>
      </x:c>
      <x:c r="E396" s="2" t="str">
        <x:f t="shared" si="2"/>
      </x:c>
      <x:c r="F396" s="2" t="str">
        <x:f t="shared" si="5"/>
      </x:c>
    </x:row>
    <x:row r="397">
      <x:c r="A397" s="2" t="str">
        <x:f t="shared" si="4"/>
      </x:c>
      <x:c r="B397" s="2" t="e">
        <x:f>IFERROR(__xludf.DUMMYFUNCTION("IF(A397="""","""",SUMPRODUCT(--(LEFT(TO_TEXT(Eventos!B$2:B$1000),10)=A397),--(Eventos!N$2:N$1000&lt;&gt;0),Eventos!I$2:I$1000))"),"")</x:f>
        <x:v>#NAME?</x:v>
      </x:c>
      <x:c r="C397" s="2" t="e">
        <x:f>IFERROR(__xludf.DUMMYFUNCTION("IF(A397="""","""",SUMPRODUCT(--(LEFT(TO_TEXT(Eventos!B$2:B$1000),10)=A397),--(Eventos!N$2:N$1000&lt;&gt;0),Eventos!M$2:M$1000))"),"")</x:f>
        <x:v>#NAME?</x:v>
      </x:c>
      <x:c r="D397" s="2" t="e">
        <x:f>IFERROR(__xludf.DUMMYFUNCTION("IF(A397="""","""",SUMPRODUCT(--(LEFT(TO_TEXT(Eventos!B$2:B$1000),10)=A397),Eventos!N$2:N$1000))"),"")</x:f>
        <x:v>#NAME?</x:v>
      </x:c>
      <x:c r="E397" s="2" t="str">
        <x:f t="shared" si="2"/>
      </x:c>
      <x:c r="F397" s="2" t="str">
        <x:f t="shared" si="5"/>
      </x:c>
    </x:row>
    <x:row r="398">
      <x:c r="A398" s="2" t="str">
        <x:f t="shared" si="4"/>
      </x:c>
      <x:c r="B398" s="2" t="e">
        <x:f>IFERROR(__xludf.DUMMYFUNCTION("IF(A398="""","""",SUMPRODUCT(--(LEFT(TO_TEXT(Eventos!B$2:B$1000),10)=A398),--(Eventos!N$2:N$1000&lt;&gt;0),Eventos!I$2:I$1000))"),"")</x:f>
        <x:v>#NAME?</x:v>
      </x:c>
      <x:c r="C398" s="2" t="e">
        <x:f>IFERROR(__xludf.DUMMYFUNCTION("IF(A398="""","""",SUMPRODUCT(--(LEFT(TO_TEXT(Eventos!B$2:B$1000),10)=A398),--(Eventos!N$2:N$1000&lt;&gt;0),Eventos!M$2:M$1000))"),"")</x:f>
        <x:v>#NAME?</x:v>
      </x:c>
      <x:c r="D398" s="2" t="e">
        <x:f>IFERROR(__xludf.DUMMYFUNCTION("IF(A398="""","""",SUMPRODUCT(--(LEFT(TO_TEXT(Eventos!B$2:B$1000),10)=A398),Eventos!N$2:N$1000))"),"")</x:f>
        <x:v>#NAME?</x:v>
      </x:c>
      <x:c r="E398" s="2" t="str">
        <x:f t="shared" si="2"/>
      </x:c>
      <x:c r="F398" s="2" t="str">
        <x:f t="shared" si="5"/>
      </x:c>
    </x:row>
    <x:row r="399">
      <x:c r="A399" s="2" t="str">
        <x:f t="shared" si="4"/>
      </x:c>
      <x:c r="B399" s="2" t="e">
        <x:f>IFERROR(__xludf.DUMMYFUNCTION("IF(A399="""","""",SUMPRODUCT(--(LEFT(TO_TEXT(Eventos!B$2:B$1000),10)=A399),--(Eventos!N$2:N$1000&lt;&gt;0),Eventos!I$2:I$1000))"),"")</x:f>
        <x:v>#NAME?</x:v>
      </x:c>
      <x:c r="C399" s="2" t="e">
        <x:f>IFERROR(__xludf.DUMMYFUNCTION("IF(A399="""","""",SUMPRODUCT(--(LEFT(TO_TEXT(Eventos!B$2:B$1000),10)=A399),--(Eventos!N$2:N$1000&lt;&gt;0),Eventos!M$2:M$1000))"),"")</x:f>
        <x:v>#NAME?</x:v>
      </x:c>
      <x:c r="D399" s="2" t="e">
        <x:f>IFERROR(__xludf.DUMMYFUNCTION("IF(A399="""","""",SUMPRODUCT(--(LEFT(TO_TEXT(Eventos!B$2:B$1000),10)=A399),Eventos!N$2:N$1000))"),"")</x:f>
        <x:v>#NAME?</x:v>
      </x:c>
      <x:c r="E399" s="2" t="str">
        <x:f t="shared" si="2"/>
      </x:c>
      <x:c r="F399" s="2" t="str">
        <x:f t="shared" si="5"/>
      </x:c>
    </x:row>
    <x:row r="400">
      <x:c r="A400" s="2" t="str">
        <x:f t="shared" si="4"/>
      </x:c>
      <x:c r="B400" s="2" t="e">
        <x:f>IFERROR(__xludf.DUMMYFUNCTION("IF(A400="""","""",SUMPRODUCT(--(LEFT(TO_TEXT(Eventos!B$2:B$1000),10)=A400),--(Eventos!N$2:N$1000&lt;&gt;0),Eventos!I$2:I$1000))"),"")</x:f>
        <x:v>#NAME?</x:v>
      </x:c>
      <x:c r="C400" s="2" t="e">
        <x:f>IFERROR(__xludf.DUMMYFUNCTION("IF(A400="""","""",SUMPRODUCT(--(LEFT(TO_TEXT(Eventos!B$2:B$1000),10)=A400),--(Eventos!N$2:N$1000&lt;&gt;0),Eventos!M$2:M$1000))"),"")</x:f>
        <x:v>#NAME?</x:v>
      </x:c>
      <x:c r="D400" s="2" t="e">
        <x:f>IFERROR(__xludf.DUMMYFUNCTION("IF(A400="""","""",SUMPRODUCT(--(LEFT(TO_TEXT(Eventos!B$2:B$1000),10)=A400),Eventos!N$2:N$1000))"),"")</x:f>
        <x:v>#NAME?</x:v>
      </x:c>
      <x:c r="E400" s="2" t="str">
        <x:f t="shared" si="2"/>
      </x:c>
      <x:c r="F400" s="2" t="str">
        <x:f t="shared" si="5"/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6" width="13.25" customWidth="1"/>
    <x:col min="7" max="7" width="15" customWidth="1"/>
    <x:col min="8" max="16" width="13.25" customWidth="1"/>
  </x:cols>
  <x:sheetData>
    <x:row r="1" ht="24" customHeight="1">
      <x:c r="A1" s="21" t="s">
        <x:v>1056</x:v>
      </x:c>
      <x:c r="R1" s="22" t="s">
        <x:v>1035</x:v>
      </x:c>
      <x:c r="S1" s="22" t="s">
        <x:v>1055</x:v>
      </x:c>
      <x:c r="T1" s="22" t="s">
        <x:v>1057</x:v>
      </x:c>
      <x:c r="U1" s="22" t="s">
        <x:v>1058</x:v>
      </x:c>
      <x:c r="V1" s="22"/>
      <x:c r="W1" s="22" t="s">
        <x:v>1059</x:v>
      </x:c>
      <x:c r="X1" s="22" t="s">
        <x:v>1060</x:v>
      </x:c>
      <x:c r="Y1" s="22" t="s">
        <x:v>1061</x:v>
      </x:c>
      <x:c r="Z1" s="22" t="s">
        <x:v>1017</x:v>
      </x:c>
      <x:c r="AA1" s="22" t="s">
        <x:v>1062</x:v>
      </x:c>
      <x:c r="AB1" s="22"/>
      <x:c r="AC1" s="22" t="s">
        <x:v>5</x:v>
      </x:c>
      <x:c r="AD1" s="22" t="s">
        <x:v>1063</x:v>
      </x:c>
    </x:row>
    <x:row r="2" ht="24" customHeight="1">
      <x:c r="R2" s="2" t="str">
        <x:f>'Financeiro Global'!A7</x:f>
        <x:v>18/08/2026</x:v>
      </x:c>
      <x:c r="S2" s="2" t="e">
        <x:f>'Financeiro Global'!F7</x:f>
        <x:v>#NAME?</x:v>
      </x:c>
      <x:c r="T2" s="2" t="e">
        <x:f>'Financeiro Global'!D7</x:f>
        <x:v>#NAME?</x:v>
      </x:c>
      <x:c r="U2" s="23" t="e">
        <x:f t="shared" ref="U2:U20" si="1">S2/$B$3-1</x:f>
        <x:v>#NAME?</x:v>
      </x:c>
      <x:c r="W2" s="24" t="str">
        <x:v>Ago/2026</x:v>
      </x:c>
      <x:c r="X2" s="2" t="n">
        <x:v>100</x:v>
      </x:c>
      <x:c r="Y2" s="2" t="n">
        <x:v>277.75</x:v>
      </x:c>
      <x:c r="Z2" s="2" t="n">
        <x:f t="shared" ref="Z2:Z3" si="2">X2-W2</x:f>
        <x:v>177.75</x:v>
      </x:c>
      <x:c r="AA2" s="2" t="n">
        <x:f t="shared" ref="AA2:AA3" si="3">Y2/W2</x:f>
        <x:v>1.7775</x:v>
      </x:c>
      <x:c r="AC2" s="2" t="s">
        <x:v>21</x:v>
      </x:c>
      <x:c r="AD2" s="2" t="n">
        <x:v>110.29</x:v>
      </x:c>
    </x:row>
    <x:row r="3">
      <x:c r="A3" s="25" t="s">
        <x:v>1064</x:v>
      </x:c>
      <x:c r="B3" s="26" t="n">
        <x:f>'Financeiro Global'!B2</x:f>
        <x:v>100</x:v>
      </x:c>
      <x:c r="D3" s="25" t="s">
        <x:v>1065</x:v>
      </x:c>
      <x:c r="E3" s="26" t="n">
        <x:v>428.86</x:v>
      </x:c>
      <x:c r="G3" s="25" t="s">
        <x:v>1066</x:v>
      </x:c>
      <x:c r="H3" s="26" t="n">
        <x:v>328.86</x:v>
      </x:c>
      <x:c r="J3" s="25" t="s">
        <x:v>1067</x:v>
      </x:c>
      <x:c r="K3" s="27" t="n">
        <x:v>3.2886</x:v>
      </x:c>
      <x:c r="M3" s="25" t="s">
        <x:v>1052</x:v>
      </x:c>
      <x:c r="N3" s="26" t="n">
        <x:v>186.76</x:v>
      </x:c>
      <x:c r="R3" s="2" t="str">
        <x:f>'Financeiro Global'!A8</x:f>
        <x:v>19/08/2026</x:v>
      </x:c>
      <x:c r="S3" s="2" t="n">
        <x:f>'Financeiro Global'!F8</x:f>
        <x:v>91.65</x:v>
      </x:c>
      <x:c r="T3" s="2" t="e">
        <x:f>'Financeiro Global'!D8</x:f>
        <x:v>#NAME?</x:v>
      </x:c>
      <x:c r="U3" s="23">
        <x:f t="shared" si="1"/>
        <x:v>-0.0835</x:v>
      </x:c>
      <x:c r="W3" s="24" t="str">
        <x:v>Set/2026</x:v>
      </x:c>
      <x:c r="X3" s="2" t="n">
        <x:v>277.75</x:v>
      </x:c>
      <x:c r="Y3" s="2" t="n">
        <x:v>428.86</x:v>
      </x:c>
      <x:c r="Z3" s="2" t="n">
        <x:f t="shared" si="2"/>
        <x:v>151.11</x:v>
      </x:c>
      <x:c r="AA3" s="2" t="n">
        <x:f t="shared" si="3"/>
        <x:v>0.5440504050405041</x:v>
      </x:c>
      <x:c r="AC3" s="2" t="s">
        <x:v>186</x:v>
      </x:c>
      <x:c r="AD3" s="2" t="n">
        <x:v>108.36</x:v>
      </x:c>
    </x:row>
    <x:row r="4">
      <x:c r="R4" s="2" t="str">
        <x:f>'Financeiro Global'!A9</x:f>
        <x:v>20/08/2026</x:v>
      </x:c>
      <x:c r="S4" s="2" t="n">
        <x:f>'Financeiro Global'!F9</x:f>
        <x:v>137.05</x:v>
      </x:c>
      <x:c r="T4" s="2" t="e">
        <x:f>'Financeiro Global'!D9</x:f>
        <x:v>#NAME?</x:v>
      </x:c>
      <x:c r="U4" s="23">
        <x:f t="shared" si="1"/>
        <x:v>0.3705</x:v>
      </x:c>
      <x:c r="AC4" s="2" t="s">
        <x:v>78</x:v>
      </x:c>
      <x:c r="AD4" s="2" t="n">
        <x:v>-131.82</x:v>
      </x:c>
    </x:row>
    <x:row r="5">
      <x:c r="R5" s="2" t="str">
        <x:f>'Financeiro Global'!A10</x:f>
        <x:v>21/08/2026</x:v>
      </x:c>
      <x:c r="S5" s="2" t="n">
        <x:f>'Financeiro Global'!F10</x:f>
        <x:v>137.05</x:v>
      </x:c>
      <x:c r="T5" s="2" t="e">
        <x:f>'Financeiro Global'!D10</x:f>
        <x:v>#NAME?</x:v>
      </x:c>
      <x:c r="U5" s="23">
        <x:f t="shared" si="1"/>
        <x:v>0.3705</x:v>
      </x:c>
      <x:c r="AC5" s="2" t="s">
        <x:v>354</x:v>
      </x:c>
      <x:c r="AD5" s="2" t="n">
        <x:v>127.11</x:v>
      </x:c>
    </x:row>
    <x:row r="6">
      <x:c r="R6" s="2" t="str">
        <x:f>'Financeiro Global'!A11</x:f>
        <x:v>22/08/2026</x:v>
      </x:c>
      <x:c r="S6" s="2" t="n">
        <x:f>'Financeiro Global'!F11</x:f>
        <x:v>159.64</x:v>
      </x:c>
      <x:c r="T6" s="2" t="e">
        <x:f>'Financeiro Global'!D11</x:f>
        <x:v>#NAME?</x:v>
      </x:c>
      <x:c r="U6" s="23">
        <x:f t="shared" si="1"/>
        <x:v>0.5964</x:v>
      </x:c>
      <x:c r="AC6" s="2" t="s">
        <x:v>234</x:v>
      </x:c>
      <x:c r="AD6" s="2" t="n">
        <x:v>39.94</x:v>
      </x:c>
    </x:row>
    <x:row r="7">
      <x:c r="R7" s="2" t="str">
        <x:f>'Financeiro Global'!A12</x:f>
        <x:v>23/08/2026</x:v>
      </x:c>
      <x:c r="S7" s="2" t="n">
        <x:f>'Financeiro Global'!F12</x:f>
        <x:v>170.99</x:v>
      </x:c>
      <x:c r="T7" s="2" t="e">
        <x:f>'Financeiro Global'!D12</x:f>
        <x:v>#NAME?</x:v>
      </x:c>
      <x:c r="U7" s="23">
        <x:f t="shared" si="1"/>
        <x:v>0.7099</x:v>
      </x:c>
      <x:c r="AC7" s="2" t="s">
        <x:v>139</x:v>
      </x:c>
      <x:c r="AD7" s="2" t="n">
        <x:v>17.46</x:v>
      </x:c>
    </x:row>
    <x:row r="8">
      <x:c r="R8" s="2" t="str">
        <x:f>'Financeiro Global'!A13</x:f>
        <x:v>24/08/2026</x:v>
      </x:c>
      <x:c r="S8" s="2" t="n">
        <x:f>'Financeiro Global'!F13</x:f>
        <x:v>238.39</x:v>
      </x:c>
      <x:c r="T8" s="2" t="e">
        <x:f>'Financeiro Global'!D13</x:f>
        <x:v>#NAME?</x:v>
      </x:c>
      <x:c r="U8" s="23">
        <x:f t="shared" si="1"/>
        <x:v>1.3839</x:v>
      </x:c>
      <x:c r="AC8" s="2" t="s">
        <x:v>369</x:v>
      </x:c>
      <x:c r="AD8" s="2" t="n">
        <x:v>7.2</x:v>
      </x:c>
    </x:row>
    <x:row r="9">
      <x:c r="R9" s="2" t="str">
        <x:f>'Financeiro Global'!A14</x:f>
        <x:v>25/08/2026</x:v>
      </x:c>
      <x:c r="S9" s="2" t="n">
        <x:f>'Financeiro Global'!F14</x:f>
        <x:v>222.98</x:v>
      </x:c>
      <x:c r="T9" s="2" t="e">
        <x:f>'Financeiro Global'!D14</x:f>
        <x:v>#NAME?</x:v>
      </x:c>
      <x:c r="U9" s="23">
        <x:f t="shared" si="1"/>
        <x:v>1.2298</x:v>
      </x:c>
      <x:c r="AC9" s="2" t="s">
        <x:v>677</x:v>
      </x:c>
      <x:c r="AD9" s="2" t="n">
        <x:v>9.3</x:v>
      </x:c>
    </x:row>
    <x:row r="10">
      <x:c r="R10" s="2" t="str">
        <x:f>'Financeiro Global'!A15</x:f>
        <x:v>26/08/2026</x:v>
      </x:c>
      <x:c r="S10" s="2" t="n">
        <x:f>'Financeiro Global'!F15</x:f>
        <x:v>239.45</x:v>
      </x:c>
      <x:c r="T10" s="2" t="e">
        <x:f>'Financeiro Global'!D15</x:f>
        <x:v>#NAME?</x:v>
      </x:c>
      <x:c r="U10" s="23">
        <x:f t="shared" si="1"/>
        <x:v>1.3945</x:v>
      </x:c>
      <x:c r="AC10" s="2" t="s">
        <x:v>585</x:v>
      </x:c>
      <x:c r="AD10" s="2" t="n">
        <x:v>7.8</x:v>
      </x:c>
    </x:row>
    <x:row r="11">
      <x:c r="R11" s="2" t="str">
        <x:f>'Financeiro Global'!A16</x:f>
        <x:v>27/08/2026</x:v>
      </x:c>
      <x:c r="S11" s="2" t="n">
        <x:f>'Financeiro Global'!F16</x:f>
        <x:v>262.5</x:v>
      </x:c>
      <x:c r="T11" s="2" t="e">
        <x:f>'Financeiro Global'!D16</x:f>
        <x:v>#NAME?</x:v>
      </x:c>
      <x:c r="U11" s="23">
        <x:f t="shared" si="1"/>
        <x:v>1.625</x:v>
      </x:c>
      <x:c r="AC11" s="2" t="s">
        <x:v>132</x:v>
      </x:c>
      <x:c r="AD11" s="2" t="n">
        <x:v>0</x:v>
      </x:c>
    </x:row>
    <x:row r="12">
      <x:c r="R12" s="2" t="str">
        <x:f>'Financeiro Global'!A17</x:f>
        <x:v>28/08/2026</x:v>
      </x:c>
      <x:c r="S12" s="2" t="n">
        <x:f>'Financeiro Global'!F17</x:f>
        <x:v>217.2</x:v>
      </x:c>
      <x:c r="T12" s="2" t="e">
        <x:f>'Financeiro Global'!D17</x:f>
        <x:v>#NAME?</x:v>
      </x:c>
      <x:c r="U12" s="23">
        <x:f t="shared" si="1"/>
        <x:v>1.172</x:v>
      </x:c>
      <x:c r="AC12" s="2" t="s">
        <x:v>417</x:v>
      </x:c>
      <x:c r="AD12" s="2" t="n">
        <x:v>-6.6</x:v>
      </x:c>
    </x:row>
    <x:row r="13">
      <x:c r="R13" s="2" t="str">
        <x:f>'Financeiro Global'!A18</x:f>
        <x:v>29/08/2026</x:v>
      </x:c>
      <x:c r="S13" s="2" t="n">
        <x:f>'Financeiro Global'!F18</x:f>
        <x:v>242.1</x:v>
      </x:c>
      <x:c r="T13" s="2" t="e">
        <x:f>'Financeiro Global'!D18</x:f>
        <x:v>#NAME?</x:v>
      </x:c>
      <x:c r="U13" s="23">
        <x:f t="shared" si="1"/>
        <x:v>1.421</x:v>
      </x:c>
    </x:row>
    <x:row r="14">
      <x:c r="R14" s="2" t="str">
        <x:f>'Financeiro Global'!A19</x:f>
        <x:v>30/08/2026</x:v>
      </x:c>
      <x:c r="S14" s="2" t="n">
        <x:f>'Financeiro Global'!F19</x:f>
        <x:v>292.45</x:v>
      </x:c>
      <x:c r="T14" s="2" t="e">
        <x:f>'Financeiro Global'!D19</x:f>
        <x:v>#NAME?</x:v>
      </x:c>
      <x:c r="U14" s="23">
        <x:f t="shared" si="1"/>
        <x:v>1.9245</x:v>
      </x:c>
    </x:row>
    <x:row r="15">
      <x:c r="R15" s="2" t="str">
        <x:f>'Financeiro Global'!A20</x:f>
        <x:v>31/08/2026</x:v>
      </x:c>
      <x:c r="S15" s="2" t="n">
        <x:f>'Financeiro Global'!F20</x:f>
        <x:v>277.75</x:v>
      </x:c>
      <x:c r="T15" s="2" t="e">
        <x:f>'Financeiro Global'!D20</x:f>
        <x:v>#NAME?</x:v>
      </x:c>
      <x:c r="U15" s="23">
        <x:f t="shared" si="1"/>
        <x:v>1.7775</x:v>
      </x:c>
    </x:row>
    <x:row r="16">
      <x:c r="R16" s="2" t="str">
        <x:f>'Financeiro Global'!A21</x:f>
        <x:v>01/09/2026</x:v>
      </x:c>
      <x:c r="S16" s="2" t="n">
        <x:f>'Financeiro Global'!F21</x:f>
        <x:v>328.76</x:v>
      </x:c>
      <x:c r="T16" s="2" t="e">
        <x:f>'Financeiro Global'!D21</x:f>
        <x:v>#NAME?</x:v>
      </x:c>
      <x:c r="U16" s="23">
        <x:f t="shared" si="1"/>
        <x:v>2.2876</x:v>
      </x:c>
    </x:row>
    <x:row r="17">
      <x:c r="R17" s="2" t="str">
        <x:f>'Financeiro Global'!A22</x:f>
        <x:v>02/09/2026</x:v>
      </x:c>
      <x:c r="S17" s="2" t="n">
        <x:f>'Financeiro Global'!F22</x:f>
        <x:v>304.03</x:v>
      </x:c>
      <x:c r="T17" s="2" t="e">
        <x:f>'Financeiro Global'!D22</x:f>
        <x:v>#NAME?</x:v>
      </x:c>
      <x:c r="U17" s="23">
        <x:f t="shared" si="1"/>
        <x:v>2.0403</x:v>
      </x:c>
    </x:row>
    <x:row r="18">
      <x:c r="R18" s="2" t="str">
        <x:f>'Financeiro Global'!A23</x:f>
        <x:v>03/09/2026</x:v>
      </x:c>
      <x:c r="S18" s="2" t="n">
        <x:f>'Financeiro Global'!F23</x:f>
        <x:v>334.53</x:v>
      </x:c>
      <x:c r="T18" s="2" t="e">
        <x:f>'Financeiro Global'!D23</x:f>
        <x:v>#NAME?</x:v>
      </x:c>
      <x:c r="U18" s="23">
        <x:f t="shared" si="1"/>
        <x:v>2.3453</x:v>
      </x:c>
    </x:row>
    <x:row r="19">
      <x:c r="R19" s="2" t="str">
        <x:f>'Financeiro Global'!A24</x:f>
        <x:v>04/09/2026</x:v>
      </x:c>
      <x:c r="S19" s="2" t="n">
        <x:f>'Financeiro Global'!F24</x:f>
        <x:v>334.53</x:v>
      </x:c>
      <x:c r="T19" s="2" t="e">
        <x:f>'Financeiro Global'!D24</x:f>
        <x:v>#NAME?</x:v>
      </x:c>
      <x:c r="U19" s="23">
        <x:f t="shared" si="1"/>
        <x:v>2.3453</x:v>
      </x:c>
    </x:row>
    <x:row r="20">
      <x:c r="R20" s="2" t="str">
        <x:f>'Financeiro Global'!A25</x:f>
        <x:v>05/09/2026</x:v>
      </x:c>
      <x:c r="S20" s="2" t="n">
        <x:f>'Financeiro Global'!F25</x:f>
        <x:v>260.86</x:v>
      </x:c>
      <x:c r="T20" s="2" t="e">
        <x:f>'Financeiro Global'!D25</x:f>
        <x:v>#NAME?</x:v>
      </x:c>
      <x:c r="U20" s="23">
        <x:f t="shared" si="1"/>
        <x:v>1.6086</x:v>
      </x:c>
    </x:row>
    <x:row r="21">
      <x:c r="R21" t="str">
        <x:v>06/09/2026</x:v>
      </x:c>
      <x:c r="S21" t="n">
        <x:v>407.46</x:v>
      </x:c>
      <x:c r="T21" t="n">
        <x:v>146.6</x:v>
      </x:c>
      <x:c r="U21" t="n">
        <x:v>3.0746</x:v>
      </x:c>
    </x:row>
    <x:row r="22">
      <x:c r="R22" t="str">
        <x:v>07/09/2026</x:v>
      </x:c>
      <x:c r="S22" t="n">
        <x:v>417.86</x:v>
      </x:c>
      <x:c r="T22" t="n">
        <x:v>10.4</x:v>
      </x:c>
      <x:c r="U22" t="n">
        <x:v>3.1786</x:v>
      </x:c>
    </x:row>
    <x:row r="23">
      <x:c r="R23" t="str">
        <x:v>08/09/2026</x:v>
      </x:c>
      <x:c r="S23" t="n">
        <x:v>428.86</x:v>
      </x:c>
      <x:c r="T23" t="n">
        <x:v>11</x:v>
      </x:c>
      <x:c r="U23" t="n">
        <x:v>3.2886</x:v>
      </x:c>
    </x:row>
  </x:sheetData>
  <x:mergeCells>
    <x:mergeCell ref="A1:P2"/>
  </x:mergeCells>
  <x:pageMargins left="0.7" right="0.7" top="0.75" bottom="0.75" header="0.3" footer="0.3"/>
  <x:drawing xmlns:r="http://schemas.openxmlformats.org/officeDocument/2006/relationships" r:id="R74bd8f7802e74a98"/>
</x:worksheet>
</file>